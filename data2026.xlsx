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lan\DESU_DATA_2026\ProjetNR\"/>
    </mc:Choice>
  </mc:AlternateContent>
  <xr:revisionPtr revIDLastSave="0" documentId="13_ncr:1_{BDC4BDBD-95A1-4CC6-9495-57D6BB720AFD}" xr6:coauthVersionLast="47" xr6:coauthVersionMax="47" xr10:uidLastSave="{00000000-0000-0000-0000-000000000000}"/>
  <bookViews>
    <workbookView xWindow="-110" yWindow="-110" windowWidth="19420" windowHeight="10300" activeTab="1" xr2:uid="{A5577CF9-A2EC-4381-9165-1BFB57234FC3}"/>
  </bookViews>
  <sheets>
    <sheet name="Total" sheetId="1" r:id="rId1"/>
    <sheet name="Total2" sheetId="4" r:id="rId2"/>
    <sheet name="Total2NI" sheetId="7" r:id="rId3"/>
    <sheet name="Total3" sheetId="5" r:id="rId4"/>
    <sheet name="Hipp" sheetId="3" r:id="rId5"/>
    <sheet name="Rhinal" sheetId="2" r:id="rId6"/>
    <sheet name="LRC" sheetId="6" r:id="rId7"/>
  </sheets>
  <definedNames>
    <definedName name="_xlnm._FilterDatabase" localSheetId="0" hidden="1">Total!$J$2:$K$76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6" l="1"/>
  <c r="P2" i="6"/>
  <c r="O2" i="6"/>
  <c r="N2" i="6"/>
  <c r="K2" i="6"/>
  <c r="L2" i="6"/>
  <c r="M2" i="6"/>
  <c r="L39" i="6"/>
  <c r="N39" i="6"/>
  <c r="K40" i="6"/>
  <c r="L40" i="6"/>
  <c r="M40" i="6"/>
  <c r="N40" i="6"/>
  <c r="K41" i="6"/>
  <c r="L41" i="6"/>
  <c r="M41" i="6"/>
  <c r="N41" i="6"/>
  <c r="K42" i="6"/>
  <c r="L42" i="6"/>
  <c r="M42" i="6"/>
  <c r="N42" i="6"/>
  <c r="K29" i="6"/>
  <c r="L29" i="6"/>
  <c r="M29" i="6"/>
  <c r="N29" i="6"/>
  <c r="L30" i="6"/>
  <c r="N30" i="6"/>
  <c r="L31" i="6"/>
  <c r="N31" i="6"/>
  <c r="L32" i="6"/>
  <c r="N32" i="6"/>
  <c r="P32" i="6" s="1"/>
  <c r="L33" i="6"/>
  <c r="N33" i="6"/>
  <c r="K34" i="6"/>
  <c r="L34" i="6"/>
  <c r="M34" i="6"/>
  <c r="O34" i="6" s="1"/>
  <c r="N34" i="6"/>
  <c r="L35" i="6"/>
  <c r="N35" i="6"/>
  <c r="K36" i="6"/>
  <c r="L36" i="6"/>
  <c r="M36" i="6"/>
  <c r="N36" i="6"/>
  <c r="K37" i="6"/>
  <c r="L37" i="6"/>
  <c r="M37" i="6"/>
  <c r="N37" i="6"/>
  <c r="K38" i="6"/>
  <c r="L38" i="6"/>
  <c r="M38" i="6"/>
  <c r="N38" i="6"/>
  <c r="L25" i="6"/>
  <c r="N25" i="6"/>
  <c r="L26" i="6"/>
  <c r="N26" i="6"/>
  <c r="L27" i="6"/>
  <c r="N27" i="6"/>
  <c r="L28" i="6"/>
  <c r="N28" i="6"/>
  <c r="L18" i="6"/>
  <c r="N18" i="6"/>
  <c r="K19" i="6"/>
  <c r="L19" i="6"/>
  <c r="M19" i="6"/>
  <c r="N19" i="6"/>
  <c r="L20" i="6"/>
  <c r="N20" i="6"/>
  <c r="L21" i="6"/>
  <c r="N21" i="6"/>
  <c r="K22" i="6"/>
  <c r="L22" i="6"/>
  <c r="M22" i="6"/>
  <c r="N22" i="6"/>
  <c r="L23" i="6"/>
  <c r="N23" i="6"/>
  <c r="L24" i="6"/>
  <c r="N24" i="6"/>
  <c r="K9" i="6"/>
  <c r="L9" i="6"/>
  <c r="M9" i="6"/>
  <c r="N9" i="6"/>
  <c r="K10" i="6"/>
  <c r="L10" i="6"/>
  <c r="M10" i="6"/>
  <c r="N10" i="6"/>
  <c r="K11" i="6"/>
  <c r="L11" i="6"/>
  <c r="M11" i="6"/>
  <c r="N11" i="6"/>
  <c r="K12" i="6"/>
  <c r="L12" i="6"/>
  <c r="M12" i="6"/>
  <c r="N12" i="6"/>
  <c r="K13" i="6"/>
  <c r="L13" i="6"/>
  <c r="M13" i="6"/>
  <c r="N13" i="6"/>
  <c r="K14" i="6"/>
  <c r="L14" i="6"/>
  <c r="M14" i="6"/>
  <c r="N14" i="6"/>
  <c r="L15" i="6"/>
  <c r="N15" i="6"/>
  <c r="K16" i="6"/>
  <c r="L16" i="6"/>
  <c r="M16" i="6"/>
  <c r="N16" i="6"/>
  <c r="K17" i="6"/>
  <c r="L17" i="6"/>
  <c r="M17" i="6"/>
  <c r="N17" i="6"/>
  <c r="K3" i="6"/>
  <c r="L3" i="6"/>
  <c r="M3" i="6"/>
  <c r="N3" i="6"/>
  <c r="K4" i="6"/>
  <c r="L4" i="6"/>
  <c r="M4" i="6"/>
  <c r="N4" i="6"/>
  <c r="K5" i="6"/>
  <c r="L5" i="6"/>
  <c r="M5" i="6"/>
  <c r="O5" i="6" s="1"/>
  <c r="N5" i="6"/>
  <c r="K6" i="6"/>
  <c r="L6" i="6"/>
  <c r="M6" i="6"/>
  <c r="N6" i="6"/>
  <c r="K7" i="6"/>
  <c r="L7" i="6"/>
  <c r="M7" i="6"/>
  <c r="N7" i="6"/>
  <c r="K8" i="6"/>
  <c r="L8" i="6"/>
  <c r="M8" i="6"/>
  <c r="N8" i="6"/>
  <c r="P15" i="6" l="1"/>
  <c r="O22" i="6"/>
  <c r="O38" i="6"/>
  <c r="O36" i="6"/>
  <c r="P22" i="6"/>
  <c r="O29" i="6"/>
  <c r="O17" i="6"/>
  <c r="P5" i="6"/>
  <c r="P3" i="6"/>
  <c r="O13" i="6"/>
  <c r="O9" i="6"/>
  <c r="P37" i="6"/>
  <c r="P42" i="6"/>
  <c r="O42" i="6"/>
  <c r="O8" i="6"/>
  <c r="P20" i="6"/>
  <c r="P18" i="6"/>
  <c r="P16" i="6"/>
  <c r="P12" i="6"/>
  <c r="P27" i="6"/>
  <c r="P35" i="6"/>
  <c r="P28" i="6"/>
  <c r="P14" i="6"/>
  <c r="O41" i="6"/>
  <c r="O14" i="6"/>
  <c r="P29" i="6"/>
  <c r="O10" i="6"/>
  <c r="O6" i="6"/>
  <c r="P13" i="6"/>
  <c r="P21" i="6"/>
  <c r="P30" i="6"/>
  <c r="P7" i="6"/>
  <c r="O4" i="6"/>
  <c r="P17" i="6"/>
  <c r="O12" i="6"/>
  <c r="P24" i="6"/>
  <c r="O19" i="6"/>
  <c r="P34" i="6"/>
  <c r="P31" i="6"/>
  <c r="O7" i="6"/>
  <c r="P26" i="6"/>
  <c r="P36" i="6"/>
  <c r="P4" i="6"/>
  <c r="P19" i="6"/>
  <c r="P25" i="6"/>
  <c r="P8" i="6"/>
  <c r="O3" i="6"/>
  <c r="O16" i="6"/>
  <c r="P9" i="6"/>
  <c r="P23" i="6"/>
  <c r="O37" i="6"/>
  <c r="P33" i="6"/>
  <c r="P39" i="6"/>
  <c r="P41" i="6"/>
  <c r="P40" i="6"/>
  <c r="O40" i="6"/>
  <c r="O11" i="6"/>
  <c r="P11" i="6"/>
  <c r="P10" i="6"/>
  <c r="P38" i="6"/>
  <c r="U72" i="1"/>
  <c r="U7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<sst xmlns="http://schemas.openxmlformats.org/spreadsheetml/2006/main" count="5788" uniqueCount="661">
  <si>
    <t>Patient</t>
  </si>
  <si>
    <t>ZE</t>
  </si>
  <si>
    <t>NI</t>
  </si>
  <si>
    <t>ZP</t>
  </si>
  <si>
    <t>ICA</t>
  </si>
  <si>
    <t>2 D</t>
  </si>
  <si>
    <t>2 G</t>
  </si>
  <si>
    <t>3 D</t>
  </si>
  <si>
    <t>3 G</t>
  </si>
  <si>
    <t>Hipp</t>
  </si>
  <si>
    <t xml:space="preserve"> 5 D</t>
  </si>
  <si>
    <t>5 G</t>
  </si>
  <si>
    <t>8 D</t>
  </si>
  <si>
    <t>8 G</t>
  </si>
  <si>
    <t>10 G</t>
  </si>
  <si>
    <t>10 D</t>
  </si>
  <si>
    <t>12 D</t>
  </si>
  <si>
    <t>12 G</t>
  </si>
  <si>
    <t>16 D</t>
  </si>
  <si>
    <t>16 G</t>
  </si>
  <si>
    <t>18 D</t>
  </si>
  <si>
    <t>18 G</t>
  </si>
  <si>
    <t>24 D</t>
  </si>
  <si>
    <t>24 G</t>
  </si>
  <si>
    <t>34 D</t>
  </si>
  <si>
    <t>34 G</t>
  </si>
  <si>
    <t>47 D</t>
  </si>
  <si>
    <t>47 G</t>
  </si>
  <si>
    <t>1 G</t>
  </si>
  <si>
    <t>6 D</t>
  </si>
  <si>
    <t>6 G</t>
  </si>
  <si>
    <t>19 D</t>
  </si>
  <si>
    <t>19 G</t>
  </si>
  <si>
    <t>22 D</t>
  </si>
  <si>
    <t>22 G</t>
  </si>
  <si>
    <t>28 D</t>
  </si>
  <si>
    <t>28 G</t>
  </si>
  <si>
    <t>31 D</t>
  </si>
  <si>
    <t>31 G</t>
  </si>
  <si>
    <t>32 D</t>
  </si>
  <si>
    <t>32 G</t>
  </si>
  <si>
    <t>P240</t>
  </si>
  <si>
    <t>latence</t>
  </si>
  <si>
    <t>amplitude</t>
  </si>
  <si>
    <t>P300</t>
  </si>
  <si>
    <t>P600</t>
  </si>
  <si>
    <t>électrode</t>
  </si>
  <si>
    <t>B3</t>
  </si>
  <si>
    <t>B2</t>
  </si>
  <si>
    <t>B'2</t>
  </si>
  <si>
    <t>B'3</t>
  </si>
  <si>
    <t>B1</t>
  </si>
  <si>
    <t>TB2</t>
  </si>
  <si>
    <t>B'4</t>
  </si>
  <si>
    <t>TB'1</t>
  </si>
  <si>
    <t>TB'1/2</t>
  </si>
  <si>
    <t>TB3</t>
  </si>
  <si>
    <t>B4</t>
  </si>
  <si>
    <t>TB'3</t>
  </si>
  <si>
    <t>TB4</t>
  </si>
  <si>
    <t>TB'4</t>
  </si>
  <si>
    <t>B'1</t>
  </si>
  <si>
    <t>38 D</t>
  </si>
  <si>
    <t>38 G</t>
  </si>
  <si>
    <t>41 D</t>
  </si>
  <si>
    <t>41 G</t>
  </si>
  <si>
    <t>46 D</t>
  </si>
  <si>
    <t>46 G</t>
  </si>
  <si>
    <t>na</t>
  </si>
  <si>
    <t>4 D</t>
  </si>
  <si>
    <t>4 G</t>
  </si>
  <si>
    <t>7 D</t>
  </si>
  <si>
    <t>7 G</t>
  </si>
  <si>
    <t>9 D</t>
  </si>
  <si>
    <t>9 G</t>
  </si>
  <si>
    <t>11 D</t>
  </si>
  <si>
    <t>11 G</t>
  </si>
  <si>
    <t>13 D</t>
  </si>
  <si>
    <t>13 G</t>
  </si>
  <si>
    <t>14 D</t>
  </si>
  <si>
    <t>14 G</t>
  </si>
  <si>
    <t>17 D</t>
  </si>
  <si>
    <t>17 G</t>
  </si>
  <si>
    <t>21 D</t>
  </si>
  <si>
    <t>21 G</t>
  </si>
  <si>
    <t>23 D</t>
  </si>
  <si>
    <t>23 G</t>
  </si>
  <si>
    <t>non</t>
  </si>
  <si>
    <t>25 D</t>
  </si>
  <si>
    <t>25 G</t>
  </si>
  <si>
    <t>26 D</t>
  </si>
  <si>
    <t>26 G</t>
  </si>
  <si>
    <t>27 D</t>
  </si>
  <si>
    <t>33 D</t>
  </si>
  <si>
    <t>33 G</t>
  </si>
  <si>
    <t>35 D</t>
  </si>
  <si>
    <t>35 G</t>
  </si>
  <si>
    <t>36 D</t>
  </si>
  <si>
    <t>36 G</t>
  </si>
  <si>
    <t>37 D</t>
  </si>
  <si>
    <t>37 G</t>
  </si>
  <si>
    <t>40 D</t>
  </si>
  <si>
    <t xml:space="preserve"> 40 G</t>
  </si>
  <si>
    <t>44 D</t>
  </si>
  <si>
    <t>44 G</t>
  </si>
  <si>
    <t>45 D</t>
  </si>
  <si>
    <t>45 G</t>
  </si>
  <si>
    <t>48 D</t>
  </si>
  <si>
    <t>48 G</t>
  </si>
  <si>
    <t>50 D</t>
  </si>
  <si>
    <t>50 G</t>
  </si>
  <si>
    <t>51 D</t>
  </si>
  <si>
    <t>51 G</t>
  </si>
  <si>
    <t>27 G</t>
  </si>
  <si>
    <t>significatif</t>
  </si>
  <si>
    <t>oui</t>
  </si>
  <si>
    <t>Commentaire</t>
  </si>
  <si>
    <t>IRM ?</t>
  </si>
  <si>
    <t>pb ob et on</t>
  </si>
  <si>
    <t>on et IRM ?</t>
  </si>
  <si>
    <t>pb sur IRM ?</t>
  </si>
  <si>
    <t>Comm</t>
  </si>
  <si>
    <t>P240 Hippocampique</t>
  </si>
  <si>
    <t>N250 Entorhinal</t>
  </si>
  <si>
    <t>N230 Périrhinal</t>
  </si>
  <si>
    <t>4</t>
  </si>
  <si>
    <t>5</t>
  </si>
  <si>
    <t>TB'7</t>
  </si>
  <si>
    <t>254</t>
  </si>
  <si>
    <t>2</t>
  </si>
  <si>
    <t>142</t>
  </si>
  <si>
    <t>27.3</t>
  </si>
  <si>
    <t>244</t>
  </si>
  <si>
    <t>-13.7</t>
  </si>
  <si>
    <t>3</t>
  </si>
  <si>
    <t>285</t>
  </si>
  <si>
    <t>71.3</t>
  </si>
  <si>
    <t>230</t>
  </si>
  <si>
    <t>-20.2</t>
  </si>
  <si>
    <t>170</t>
  </si>
  <si>
    <t>-34.3</t>
  </si>
  <si>
    <t>10</t>
  </si>
  <si>
    <t>11</t>
  </si>
  <si>
    <t>248</t>
  </si>
  <si>
    <t>6</t>
  </si>
  <si>
    <t>265</t>
  </si>
  <si>
    <t>26.4</t>
  </si>
  <si>
    <t>8</t>
  </si>
  <si>
    <t>1</t>
  </si>
  <si>
    <t>280</t>
  </si>
  <si>
    <t>226</t>
  </si>
  <si>
    <t>37.8</t>
  </si>
  <si>
    <t>-36</t>
  </si>
  <si>
    <t>253</t>
  </si>
  <si>
    <t>64.3</t>
  </si>
  <si>
    <t>260</t>
  </si>
  <si>
    <t>88.8</t>
  </si>
  <si>
    <t>14.7</t>
  </si>
  <si>
    <t>219</t>
  </si>
  <si>
    <t>-65.5</t>
  </si>
  <si>
    <t>261</t>
  </si>
  <si>
    <t>-70.5</t>
  </si>
  <si>
    <t>-100.1</t>
  </si>
  <si>
    <t>152</t>
  </si>
  <si>
    <t>-28</t>
  </si>
  <si>
    <t>205</t>
  </si>
  <si>
    <t>-52.2</t>
  </si>
  <si>
    <t>389</t>
  </si>
  <si>
    <t>422</t>
  </si>
  <si>
    <t>82.6</t>
  </si>
  <si>
    <t>7</t>
  </si>
  <si>
    <t>412</t>
  </si>
  <si>
    <t>-44.7</t>
  </si>
  <si>
    <t>399</t>
  </si>
  <si>
    <t>80</t>
  </si>
  <si>
    <t>373</t>
  </si>
  <si>
    <t>-68.8</t>
  </si>
  <si>
    <t>LNC</t>
  </si>
  <si>
    <t>455</t>
  </si>
  <si>
    <t>-38.7</t>
  </si>
  <si>
    <t>427</t>
  </si>
  <si>
    <t>-51.2</t>
  </si>
  <si>
    <t>445</t>
  </si>
  <si>
    <t>52.4</t>
  </si>
  <si>
    <t>B'2/B'3</t>
  </si>
  <si>
    <t>430</t>
  </si>
  <si>
    <t>89.4</t>
  </si>
  <si>
    <t>345</t>
  </si>
  <si>
    <t>-97.8</t>
  </si>
  <si>
    <t>401</t>
  </si>
  <si>
    <t>120.6</t>
  </si>
  <si>
    <t>-118.5</t>
  </si>
  <si>
    <t>99.6</t>
  </si>
  <si>
    <t>482</t>
  </si>
  <si>
    <t>-68.4</t>
  </si>
  <si>
    <t>371</t>
  </si>
  <si>
    <t>58</t>
  </si>
  <si>
    <t>492</t>
  </si>
  <si>
    <t>-91.3</t>
  </si>
  <si>
    <t>319</t>
  </si>
  <si>
    <t>35.2</t>
  </si>
  <si>
    <t>395</t>
  </si>
  <si>
    <t>-125.3</t>
  </si>
  <si>
    <t>363</t>
  </si>
  <si>
    <t>-146.7</t>
  </si>
  <si>
    <t>387</t>
  </si>
  <si>
    <t>131</t>
  </si>
  <si>
    <t>351</t>
  </si>
  <si>
    <t>-103.6</t>
  </si>
  <si>
    <t>418</t>
  </si>
  <si>
    <t>96.1</t>
  </si>
  <si>
    <t>428</t>
  </si>
  <si>
    <t>77.7</t>
  </si>
  <si>
    <t>361</t>
  </si>
  <si>
    <t>168.5</t>
  </si>
  <si>
    <t>490</t>
  </si>
  <si>
    <t>-131.8</t>
  </si>
  <si>
    <t>effet tâche</t>
  </si>
  <si>
    <t>486</t>
  </si>
  <si>
    <t>13.4</t>
  </si>
  <si>
    <t>new</t>
  </si>
  <si>
    <t>140</t>
  </si>
  <si>
    <t>-21.8</t>
  </si>
  <si>
    <t>568</t>
  </si>
  <si>
    <t>50.7</t>
  </si>
  <si>
    <t>old</t>
  </si>
  <si>
    <t>N400</t>
  </si>
  <si>
    <t>521</t>
  </si>
  <si>
    <t>18.1</t>
  </si>
  <si>
    <t>619</t>
  </si>
  <si>
    <t>16</t>
  </si>
  <si>
    <t>603</t>
  </si>
  <si>
    <t>33.4</t>
  </si>
  <si>
    <t>ICA 5 hippocampique à 294</t>
  </si>
  <si>
    <t>551</t>
  </si>
  <si>
    <t>57.2</t>
  </si>
  <si>
    <t>ICA 9 péri avec pics à 150 et 268 effet new (NS) + ICA 4 péri à 331 new (NS) + Pas d'e entorhinale</t>
  </si>
  <si>
    <t>584</t>
  </si>
  <si>
    <t>12.2</t>
  </si>
  <si>
    <t>Pas d'e entorhinale</t>
  </si>
  <si>
    <t>180</t>
  </si>
  <si>
    <t>458</t>
  </si>
  <si>
    <t>10.4</t>
  </si>
  <si>
    <t>202</t>
  </si>
  <si>
    <t>-39.7</t>
  </si>
  <si>
    <t>localisation</t>
  </si>
  <si>
    <t>périrhinal</t>
  </si>
  <si>
    <t>entorhinal</t>
  </si>
  <si>
    <t>504</t>
  </si>
  <si>
    <t>58.4</t>
  </si>
  <si>
    <t>259</t>
  </si>
  <si>
    <t>20.7</t>
  </si>
  <si>
    <t>?</t>
  </si>
  <si>
    <t>A vérif</t>
  </si>
  <si>
    <t>208</t>
  </si>
  <si>
    <t>705</t>
  </si>
  <si>
    <t>12.8</t>
  </si>
  <si>
    <t>signif</t>
  </si>
  <si>
    <t>646</t>
  </si>
  <si>
    <t>-54.1</t>
  </si>
  <si>
    <t>Electrode un peu au dessus de l'hippocampe</t>
  </si>
  <si>
    <t>-46.9</t>
  </si>
  <si>
    <t>613</t>
  </si>
  <si>
    <t>611</t>
  </si>
  <si>
    <t>-45.8</t>
  </si>
  <si>
    <t>effet</t>
  </si>
  <si>
    <t>Ici on a aussi l'ICA 4 qui ressemble à P300 (390)</t>
  </si>
  <si>
    <t>effet signif</t>
  </si>
  <si>
    <t>586</t>
  </si>
  <si>
    <t>-58.4</t>
  </si>
  <si>
    <t>Potentiel LNC dans ICA 2 et 4 significatifs</t>
  </si>
  <si>
    <t>559</t>
  </si>
  <si>
    <t>-88.7</t>
  </si>
  <si>
    <t>P300 sur ICA 2 ?</t>
  </si>
  <si>
    <t>447</t>
  </si>
  <si>
    <t>-105</t>
  </si>
  <si>
    <t>408</t>
  </si>
  <si>
    <t>79.3</t>
  </si>
  <si>
    <t>-18.8</t>
  </si>
  <si>
    <t>591</t>
  </si>
  <si>
    <t>-45</t>
  </si>
  <si>
    <t>626</t>
  </si>
  <si>
    <t>-24.6</t>
  </si>
  <si>
    <t>Hipp jusqu'à B6, on voit P600 et LNC sur ICA 6, 8, 9 mais assez faible</t>
  </si>
  <si>
    <t>-100.4</t>
  </si>
  <si>
    <t>Hipp jusqu'à B5, LNC aussi sur ICA 6 ?</t>
  </si>
  <si>
    <t>Potentielle P300 sur l'ICA2</t>
  </si>
  <si>
    <t>754</t>
  </si>
  <si>
    <t>-30.3</t>
  </si>
  <si>
    <t>332</t>
  </si>
  <si>
    <t>51.3</t>
  </si>
  <si>
    <t>-27.7</t>
  </si>
  <si>
    <t>574</t>
  </si>
  <si>
    <t>-89.6</t>
  </si>
  <si>
    <t>342</t>
  </si>
  <si>
    <t>-50.7</t>
  </si>
  <si>
    <t>338</t>
  </si>
  <si>
    <t>23.7</t>
  </si>
  <si>
    <t>337</t>
  </si>
  <si>
    <t>-26.6</t>
  </si>
  <si>
    <t>ICA 4 mix péri et fusiforme + ICA 5 hippocampique, Pas d'entorhinale</t>
  </si>
  <si>
    <t>320</t>
  </si>
  <si>
    <t>-28.7</t>
  </si>
  <si>
    <t>304</t>
  </si>
  <si>
    <t>-54</t>
  </si>
  <si>
    <t>217</t>
  </si>
  <si>
    <t>Attention a verif on avait dit la 6 mais pour moi elle est en dehors</t>
  </si>
  <si>
    <t>263</t>
  </si>
  <si>
    <t>-39.6</t>
  </si>
  <si>
    <t>435</t>
  </si>
  <si>
    <t>-31.7</t>
  </si>
  <si>
    <t>-9.6</t>
  </si>
  <si>
    <t>Pente lente</t>
  </si>
  <si>
    <t>TB4 entre ento et péri, pour la pente c'est le old qui descend plus vite mais la polarité est inversée</t>
  </si>
  <si>
    <t>A vérif, pas d'ento, si on fait la moyenne de la pente, c'est le old aussi</t>
  </si>
  <si>
    <t>-108.1</t>
  </si>
  <si>
    <t>368</t>
  </si>
  <si>
    <t>382</t>
  </si>
  <si>
    <t>96.4</t>
  </si>
  <si>
    <t>570</t>
  </si>
  <si>
    <t>-35.3</t>
  </si>
  <si>
    <t>449</t>
  </si>
  <si>
    <t>-82.7</t>
  </si>
  <si>
    <t>278</t>
  </si>
  <si>
    <t>92.5</t>
  </si>
  <si>
    <t>543</t>
  </si>
  <si>
    <t>-21.6</t>
  </si>
  <si>
    <t>N230 (péri)</t>
  </si>
  <si>
    <t>N400 (péri)</t>
  </si>
  <si>
    <t>N250 (ento)</t>
  </si>
  <si>
    <t>P</t>
  </si>
  <si>
    <t>A</t>
  </si>
  <si>
    <t>Signif</t>
  </si>
  <si>
    <t>Pente</t>
  </si>
  <si>
    <t>Verbal Comprehension Index(VCI)</t>
  </si>
  <si>
    <t>Perceptual reasoning index (PRI)</t>
  </si>
  <si>
    <t>IQ</t>
  </si>
  <si>
    <t>VCI</t>
  </si>
  <si>
    <t>PRI</t>
  </si>
  <si>
    <t>WMI</t>
  </si>
  <si>
    <t>Working Memory Index (WMI)</t>
  </si>
  <si>
    <t>SPI</t>
  </si>
  <si>
    <t>Speed Processing Index (SPI)</t>
  </si>
  <si>
    <t>VBL</t>
  </si>
  <si>
    <t>verbal learning (VBL)</t>
  </si>
  <si>
    <t>VSL</t>
  </si>
  <si>
    <t>visual learning (VSL)</t>
  </si>
  <si>
    <t>verbal delayed recall (VBD)</t>
  </si>
  <si>
    <t>VBD</t>
  </si>
  <si>
    <t>VSD</t>
  </si>
  <si>
    <t>NA</t>
  </si>
  <si>
    <t>5 D</t>
  </si>
  <si>
    <t>228</t>
  </si>
  <si>
    <t>-11.6</t>
  </si>
  <si>
    <t>185</t>
  </si>
  <si>
    <t>-76.5</t>
  </si>
  <si>
    <t>-27.8</t>
  </si>
  <si>
    <t>33.7</t>
  </si>
  <si>
    <t>203</t>
  </si>
  <si>
    <t>-68.7</t>
  </si>
  <si>
    <t>287</t>
  </si>
  <si>
    <t>-95</t>
  </si>
  <si>
    <t>580</t>
  </si>
  <si>
    <t>58.9</t>
  </si>
  <si>
    <t>222</t>
  </si>
  <si>
    <t>-39.8</t>
  </si>
  <si>
    <t>-54.7</t>
  </si>
  <si>
    <t>601</t>
  </si>
  <si>
    <t>32.9</t>
  </si>
  <si>
    <t>-41.1</t>
  </si>
  <si>
    <t>51.2</t>
  </si>
  <si>
    <t>402</t>
  </si>
  <si>
    <t>-19.8</t>
  </si>
  <si>
    <t>308</t>
  </si>
  <si>
    <t>-34.6</t>
  </si>
  <si>
    <t>421</t>
  </si>
  <si>
    <t>-34</t>
  </si>
  <si>
    <t>554</t>
  </si>
  <si>
    <t>7.8</t>
  </si>
  <si>
    <t>-11.2</t>
  </si>
  <si>
    <t>TB'2</t>
  </si>
  <si>
    <t>-24.11</t>
  </si>
  <si>
    <t>9</t>
  </si>
  <si>
    <t>279</t>
  </si>
  <si>
    <t>-10</t>
  </si>
  <si>
    <t>391</t>
  </si>
  <si>
    <t>-11</t>
  </si>
  <si>
    <t>194</t>
  </si>
  <si>
    <t>-13.5</t>
  </si>
  <si>
    <t>-49.7</t>
  </si>
  <si>
    <t>TB1</t>
  </si>
  <si>
    <t>390</t>
  </si>
  <si>
    <t>-38.3</t>
  </si>
  <si>
    <t>ento/peri</t>
  </si>
  <si>
    <t>350</t>
  </si>
  <si>
    <t>-43.8</t>
  </si>
  <si>
    <t>511</t>
  </si>
  <si>
    <t>-26.7</t>
  </si>
  <si>
    <t>-31.9</t>
  </si>
  <si>
    <t>58.3</t>
  </si>
  <si>
    <t>TB3/4</t>
  </si>
  <si>
    <t>297</t>
  </si>
  <si>
    <t>61.2</t>
  </si>
  <si>
    <t>-56</t>
  </si>
  <si>
    <t>204</t>
  </si>
  <si>
    <t>38</t>
  </si>
  <si>
    <t>TB'5</t>
  </si>
  <si>
    <t>-37.3</t>
  </si>
  <si>
    <t>299</t>
  </si>
  <si>
    <t>-25.3</t>
  </si>
  <si>
    <t>-57.2</t>
  </si>
  <si>
    <t>TB5</t>
  </si>
  <si>
    <t>-68.5</t>
  </si>
  <si>
    <t>28.6</t>
  </si>
  <si>
    <t>195</t>
  </si>
  <si>
    <t>24.4</t>
  </si>
  <si>
    <t>197</t>
  </si>
  <si>
    <t>-21.2</t>
  </si>
  <si>
    <t>295</t>
  </si>
  <si>
    <t>-29.1</t>
  </si>
  <si>
    <t>246</t>
  </si>
  <si>
    <t>-25.2</t>
  </si>
  <si>
    <t>300</t>
  </si>
  <si>
    <t>-42.2</t>
  </si>
  <si>
    <t>-51.1</t>
  </si>
  <si>
    <t>165</t>
  </si>
  <si>
    <t>-41.8</t>
  </si>
  <si>
    <t>292</t>
  </si>
  <si>
    <t>-87.7</t>
  </si>
  <si>
    <t>420</t>
  </si>
  <si>
    <t>31.1</t>
  </si>
  <si>
    <t>40 G</t>
  </si>
  <si>
    <t>146</t>
  </si>
  <si>
    <t>-14.6</t>
  </si>
  <si>
    <t>158</t>
  </si>
  <si>
    <t>62.8</t>
  </si>
  <si>
    <t>281</t>
  </si>
  <si>
    <t>144.5</t>
  </si>
  <si>
    <t>466</t>
  </si>
  <si>
    <t>-18.3</t>
  </si>
  <si>
    <t>-58.3</t>
  </si>
  <si>
    <t>415</t>
  </si>
  <si>
    <t>-8.6</t>
  </si>
  <si>
    <t>330</t>
  </si>
  <si>
    <t>176</t>
  </si>
  <si>
    <t>25.6</t>
  </si>
  <si>
    <t>TB'3/4</t>
  </si>
  <si>
    <t>343</t>
  </si>
  <si>
    <t>30</t>
  </si>
  <si>
    <t>457</t>
  </si>
  <si>
    <t>-23</t>
  </si>
  <si>
    <t>ND</t>
  </si>
  <si>
    <t>visual delayed recall (VSD)</t>
  </si>
  <si>
    <t>BNP ?</t>
  </si>
  <si>
    <t>IRM ? BNP ?</t>
  </si>
  <si>
    <t>-27.2</t>
  </si>
  <si>
    <t>TB'2/3</t>
  </si>
  <si>
    <t>127</t>
  </si>
  <si>
    <t>-14.2</t>
  </si>
  <si>
    <t>-5.5</t>
  </si>
  <si>
    <t>388</t>
  </si>
  <si>
    <t>-19.9</t>
  </si>
  <si>
    <t>8.2</t>
  </si>
  <si>
    <t>4.3</t>
  </si>
  <si>
    <t>A revoir pour la pente au moins je suis pas sure</t>
  </si>
  <si>
    <t>B'2/3</t>
  </si>
  <si>
    <t>Electrode posée sur l'hippocampe jusqu'à 6</t>
  </si>
  <si>
    <t>P300 très bruitée</t>
  </si>
  <si>
    <t>pb ??</t>
  </si>
  <si>
    <t>B3/4</t>
  </si>
  <si>
    <t>Electrode très poussée, B1 pas dans l'hippocampe mais B5 oui</t>
  </si>
  <si>
    <t>220</t>
  </si>
  <si>
    <t>75.5</t>
  </si>
  <si>
    <t>Electrode un peu en dessous de l'hippocampe, peut-etre 2, 3 et 4 dedans</t>
  </si>
  <si>
    <t>236</t>
  </si>
  <si>
    <t>-25.6</t>
  </si>
  <si>
    <t>signif OB</t>
  </si>
  <si>
    <t>signif ON</t>
  </si>
  <si>
    <t>pas de pic</t>
  </si>
  <si>
    <t>221</t>
  </si>
  <si>
    <t>-15.7</t>
  </si>
  <si>
    <t>oui (new)</t>
  </si>
  <si>
    <t>302</t>
  </si>
  <si>
    <t>-39</t>
  </si>
  <si>
    <t>283</t>
  </si>
  <si>
    <t>-26.1</t>
  </si>
  <si>
    <t>53.5</t>
  </si>
  <si>
    <t>oui (old)</t>
  </si>
  <si>
    <t>238</t>
  </si>
  <si>
    <t>11.2</t>
  </si>
  <si>
    <t>oui (freq)</t>
  </si>
  <si>
    <t>225</t>
  </si>
  <si>
    <t>-18.2</t>
  </si>
  <si>
    <t>-17</t>
  </si>
  <si>
    <t>199</t>
  </si>
  <si>
    <t>339</t>
  </si>
  <si>
    <t>-40.5</t>
  </si>
  <si>
    <t>454</t>
  </si>
  <si>
    <t>4.8</t>
  </si>
  <si>
    <t>223</t>
  </si>
  <si>
    <t>-40</t>
  </si>
  <si>
    <t>-34.7</t>
  </si>
  <si>
    <t>525</t>
  </si>
  <si>
    <t>160.6</t>
  </si>
  <si>
    <t>538</t>
  </si>
  <si>
    <t>294</t>
  </si>
  <si>
    <t>-24.7</t>
  </si>
  <si>
    <t>Electrode pas vraiment ni en ento ni en péri</t>
  </si>
  <si>
    <t>272</t>
  </si>
  <si>
    <t>92</t>
  </si>
  <si>
    <t>-29.9</t>
  </si>
  <si>
    <t>229</t>
  </si>
  <si>
    <t>-20</t>
  </si>
  <si>
    <t>257</t>
  </si>
  <si>
    <t>-32.7</t>
  </si>
  <si>
    <t>275</t>
  </si>
  <si>
    <t>12.6</t>
  </si>
  <si>
    <t>-11.3</t>
  </si>
  <si>
    <t>-15</t>
  </si>
  <si>
    <t>196</t>
  </si>
  <si>
    <t>-16.6</t>
  </si>
  <si>
    <t>12</t>
  </si>
  <si>
    <t>-43.2</t>
  </si>
  <si>
    <t>12.9</t>
  </si>
  <si>
    <t>298</t>
  </si>
  <si>
    <t>pb hippocampe</t>
  </si>
  <si>
    <t>-18</t>
  </si>
  <si>
    <t>21</t>
  </si>
  <si>
    <t>250</t>
  </si>
  <si>
    <t>45.6</t>
  </si>
  <si>
    <t>256</t>
  </si>
  <si>
    <t>25.9</t>
  </si>
  <si>
    <t>251</t>
  </si>
  <si>
    <t>-13.9</t>
  </si>
  <si>
    <t>215</t>
  </si>
  <si>
    <t>-27.3</t>
  </si>
  <si>
    <t>21.5</t>
  </si>
  <si>
    <t>16.4</t>
  </si>
  <si>
    <t>242</t>
  </si>
  <si>
    <t>22</t>
  </si>
  <si>
    <t>47.8</t>
  </si>
  <si>
    <t>269</t>
  </si>
  <si>
    <t>27.9</t>
  </si>
  <si>
    <t>268</t>
  </si>
  <si>
    <t>-18.7</t>
  </si>
  <si>
    <t>123.1</t>
  </si>
  <si>
    <t>35.1</t>
  </si>
  <si>
    <t>503</t>
  </si>
  <si>
    <t>42.14</t>
  </si>
  <si>
    <t>Performance</t>
  </si>
  <si>
    <t>OB</t>
  </si>
  <si>
    <t>ON</t>
  </si>
  <si>
    <t>pas les perf</t>
  </si>
  <si>
    <t>98%</t>
  </si>
  <si>
    <t>80/77</t>
  </si>
  <si>
    <t>62/70</t>
  </si>
  <si>
    <t>53/69</t>
  </si>
  <si>
    <t>88%</t>
  </si>
  <si>
    <t>100%</t>
  </si>
  <si>
    <t>81/84</t>
  </si>
  <si>
    <t>80/83</t>
  </si>
  <si>
    <t>77/70</t>
  </si>
  <si>
    <t>63/70</t>
  </si>
  <si>
    <t>69/68</t>
  </si>
  <si>
    <t>79/81</t>
  </si>
  <si>
    <t>68/79</t>
  </si>
  <si>
    <t>68/43</t>
  </si>
  <si>
    <t>pas diapo</t>
  </si>
  <si>
    <t>57/78</t>
  </si>
  <si>
    <t>64/81</t>
  </si>
  <si>
    <t>81/81</t>
  </si>
  <si>
    <t xml:space="preserve">IRM ? </t>
  </si>
  <si>
    <t>0</t>
  </si>
  <si>
    <t>264</t>
  </si>
  <si>
    <t>-32.1</t>
  </si>
  <si>
    <t>59.7</t>
  </si>
  <si>
    <t>631</t>
  </si>
  <si>
    <t>51.5</t>
  </si>
  <si>
    <t>P300 et P600 aussi sur la 8</t>
  </si>
  <si>
    <t>-31.6</t>
  </si>
  <si>
    <t>-20.6</t>
  </si>
  <si>
    <t>588</t>
  </si>
  <si>
    <t>35.9</t>
  </si>
  <si>
    <t>B2/3</t>
  </si>
  <si>
    <t>NaN</t>
  </si>
  <si>
    <t>t1 old</t>
  </si>
  <si>
    <t>t2 old</t>
  </si>
  <si>
    <t>a1 old</t>
  </si>
  <si>
    <t>a2 old</t>
  </si>
  <si>
    <t>t1 new</t>
  </si>
  <si>
    <t>t2 new</t>
  </si>
  <si>
    <t>a2 new</t>
  </si>
  <si>
    <t>-41</t>
  </si>
  <si>
    <t>-55</t>
  </si>
  <si>
    <t>t old</t>
  </si>
  <si>
    <t>a old</t>
  </si>
  <si>
    <t>t new</t>
  </si>
  <si>
    <t>a new</t>
  </si>
  <si>
    <t>t tot</t>
  </si>
  <si>
    <t>a tot</t>
  </si>
  <si>
    <t>-7,2</t>
  </si>
  <si>
    <t>-39,5</t>
  </si>
  <si>
    <t>-34,5</t>
  </si>
  <si>
    <t>-50,5</t>
  </si>
  <si>
    <t>-47,2</t>
  </si>
  <si>
    <t>-7,8</t>
  </si>
  <si>
    <t>-0,6</t>
  </si>
  <si>
    <t>-15,1</t>
  </si>
  <si>
    <t>-52,4</t>
  </si>
  <si>
    <t>-35,2</t>
  </si>
  <si>
    <t>-1,7</t>
  </si>
  <si>
    <t>-30,1</t>
  </si>
  <si>
    <t>-54,4</t>
  </si>
  <si>
    <t>-50,7</t>
  </si>
  <si>
    <t>-67,7</t>
  </si>
  <si>
    <t>-0,7</t>
  </si>
  <si>
    <t>-63,5</t>
  </si>
  <si>
    <t>-71,2</t>
  </si>
  <si>
    <t>-75,4</t>
  </si>
  <si>
    <t>-81,5</t>
  </si>
  <si>
    <t>-3,9</t>
  </si>
  <si>
    <t>-83,5</t>
  </si>
  <si>
    <t>-96,6</t>
  </si>
  <si>
    <t>-39,7</t>
  </si>
  <si>
    <t>-5,5</t>
  </si>
  <si>
    <t>-10,5</t>
  </si>
  <si>
    <t>-23,3</t>
  </si>
  <si>
    <t>-0,3</t>
  </si>
  <si>
    <t>-25,2</t>
  </si>
  <si>
    <t>-40,7</t>
  </si>
  <si>
    <t>-24,4</t>
  </si>
  <si>
    <t>-31,1</t>
  </si>
  <si>
    <t>-5,2</t>
  </si>
  <si>
    <t>-34,3</t>
  </si>
  <si>
    <t>-2,7</t>
  </si>
  <si>
    <t>-59,3</t>
  </si>
  <si>
    <t>-66,6</t>
  </si>
  <si>
    <t>-25,8</t>
  </si>
  <si>
    <t>-26,1</t>
  </si>
  <si>
    <t>-52,8</t>
  </si>
  <si>
    <t>-11,4</t>
  </si>
  <si>
    <t>-82,8</t>
  </si>
  <si>
    <t>-23,4</t>
  </si>
  <si>
    <t>-17,6</t>
  </si>
  <si>
    <t>-1,8</t>
  </si>
  <si>
    <t>-26,3</t>
  </si>
  <si>
    <t>-1,9</t>
  </si>
  <si>
    <t>-33,6</t>
  </si>
  <si>
    <t>LRC</t>
  </si>
  <si>
    <t>-59,7</t>
  </si>
  <si>
    <t>-6,2</t>
  </si>
  <si>
    <t>-56,2</t>
  </si>
  <si>
    <t>-104,8</t>
  </si>
  <si>
    <t>-85,9</t>
  </si>
  <si>
    <t>-3,6</t>
  </si>
  <si>
    <t>-52,2</t>
  </si>
  <si>
    <t>-0,1</t>
  </si>
  <si>
    <t>-49,1</t>
  </si>
  <si>
    <t>-15,7</t>
  </si>
  <si>
    <t>-24,5</t>
  </si>
  <si>
    <t>a1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</si>
</sst>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1" xfId="0" applyBorder="1"/>
    <xf numFmtId="49" fontId="0" fillId="0" borderId="1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0" borderId="28" xfId="0" applyBorder="1"/>
    <xf numFmtId="49" fontId="0" fillId="0" borderId="11" xfId="0" applyNumberFormat="1" applyBorder="1" applyAlignment="1">
      <alignment horizontal="center" vertical="center"/>
    </xf>
    <xf numFmtId="0" fontId="4" fillId="0" borderId="3" xfId="0" applyFont="1" applyBorder="1"/>
    <xf numFmtId="0" fontId="5" fillId="5" borderId="4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3" xfId="0" applyFont="1" applyFill="1" applyBorder="1"/>
    <xf numFmtId="49" fontId="4" fillId="5" borderId="1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6" borderId="1" xfId="0" applyFill="1" applyBorder="1"/>
    <xf numFmtId="0" fontId="4" fillId="0" borderId="1" xfId="1" applyFont="1" applyBorder="1" applyAlignment="1">
      <alignment horizontal="center" vertical="center"/>
    </xf>
    <xf numFmtId="0" fontId="0" fillId="0" borderId="29" xfId="0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0" fillId="0" borderId="30" xfId="0" applyBorder="1"/>
    <xf numFmtId="0" fontId="7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49" fontId="0" fillId="7" borderId="15" xfId="0" applyNumberForma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/>
    </xf>
    <xf numFmtId="49" fontId="0" fillId="7" borderId="16" xfId="0" applyNumberFormat="1" applyFill="1" applyBorder="1" applyAlignment="1">
      <alignment horizontal="center" vertical="center"/>
    </xf>
    <xf numFmtId="0" fontId="0" fillId="7" borderId="29" xfId="0" applyFill="1" applyBorder="1"/>
    <xf numFmtId="0" fontId="0" fillId="7" borderId="0" xfId="0" applyFill="1"/>
    <xf numFmtId="0" fontId="4" fillId="0" borderId="18" xfId="0" applyFont="1" applyBorder="1"/>
    <xf numFmtId="0" fontId="4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4" xfId="0" quotePrefix="1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3" borderId="7" xfId="0" applyFont="1" applyFill="1" applyBorder="1"/>
    <xf numFmtId="0" fontId="4" fillId="3" borderId="8" xfId="0" applyFont="1" applyFill="1" applyBorder="1"/>
    <xf numFmtId="49" fontId="4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/>
    </xf>
    <xf numFmtId="0" fontId="0" fillId="4" borderId="11" xfId="0" applyFill="1" applyBorder="1"/>
    <xf numFmtId="49" fontId="0" fillId="4" borderId="15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0" fontId="0" fillId="4" borderId="0" xfId="0" applyFill="1"/>
    <xf numFmtId="49" fontId="0" fillId="4" borderId="4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0" fillId="0" borderId="18" xfId="0" applyBorder="1"/>
    <xf numFmtId="49" fontId="0" fillId="3" borderId="15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0" fontId="4" fillId="3" borderId="30" xfId="0" applyFont="1" applyFill="1" applyBorder="1"/>
    <xf numFmtId="0" fontId="4" fillId="3" borderId="32" xfId="0" applyFont="1" applyFill="1" applyBorder="1"/>
    <xf numFmtId="0" fontId="1" fillId="0" borderId="1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5" borderId="36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9" fontId="0" fillId="0" borderId="36" xfId="0" applyNumberForma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4" borderId="29" xfId="0" applyNumberForma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9" xfId="0" applyFont="1" applyBorder="1" applyAlignment="1">
      <alignment horizontal="center"/>
    </xf>
    <xf numFmtId="0" fontId="0" fillId="0" borderId="39" xfId="0" applyBorder="1"/>
    <xf numFmtId="0" fontId="0" fillId="7" borderId="39" xfId="0" applyFill="1" applyBorder="1"/>
    <xf numFmtId="0" fontId="0" fillId="4" borderId="36" xfId="0" applyFill="1" applyBorder="1"/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0" fillId="0" borderId="41" xfId="0" applyBorder="1"/>
    <xf numFmtId="0" fontId="4" fillId="0" borderId="43" xfId="0" applyFont="1" applyBorder="1"/>
    <xf numFmtId="49" fontId="4" fillId="0" borderId="42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0" fillId="4" borderId="5" xfId="0" applyFill="1" applyBorder="1"/>
    <xf numFmtId="0" fontId="4" fillId="4" borderId="16" xfId="0" applyFont="1" applyFill="1" applyBorder="1"/>
    <xf numFmtId="0" fontId="4" fillId="4" borderId="44" xfId="0" applyFont="1" applyFill="1" applyBorder="1"/>
    <xf numFmtId="49" fontId="4" fillId="4" borderId="1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4" fillId="4" borderId="3" xfId="0" applyFont="1" applyFill="1" applyBorder="1"/>
    <xf numFmtId="0" fontId="4" fillId="4" borderId="30" xfId="0" applyFont="1" applyFill="1" applyBorder="1"/>
    <xf numFmtId="49" fontId="4" fillId="4" borderId="4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" fillId="4" borderId="1" xfId="0" applyFont="1" applyFill="1" applyBorder="1"/>
    <xf numFmtId="49" fontId="4" fillId="4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48" xfId="0" applyBorder="1"/>
    <xf numFmtId="164" fontId="0" fillId="0" borderId="0" xfId="0" applyNumberFormat="1"/>
    <xf numFmtId="1" fontId="1" fillId="0" borderId="10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1" fillId="0" borderId="11" xfId="0" applyNumberFormat="1" applyFont="1" applyBorder="1" applyAlignment="1">
      <alignment horizontal="center" vertical="center"/>
    </xf>
    <xf numFmtId="1" fontId="1" fillId="0" borderId="39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4" borderId="11" xfId="0" applyNumberFormat="1" applyFont="1" applyFill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7" borderId="30" xfId="0" applyNumberFormat="1" applyFill="1" applyBorder="1" applyAlignment="1">
      <alignment horizontal="center" vertical="center"/>
    </xf>
    <xf numFmtId="1" fontId="0" fillId="4" borderId="5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quotePrefix="1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Normal" xfId="0" builtinId="0"/>
    <cellStyle name="Normal 2" xfId="1" xr:uid="{92373F57-BD3D-4033-945B-A0281062FFD6}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D0EB-2956-4233-B157-DD90D5CE8851}">
  <dimension ref="A1:X88"/>
  <sheetViews>
    <sheetView topLeftCell="A51" zoomScale="109" zoomScaleNormal="175" workbookViewId="0">
      <selection activeCell="M64" sqref="M64:U64"/>
    </sheetView>
  </sheetViews>
  <sheetFormatPr baseColWidth="10" defaultColWidth="8.7265625" defaultRowHeight="14.5" x14ac:dyDescent="0.35"/>
  <cols>
    <col min="1" max="1" width="7.453125" style="51" bestFit="1" customWidth="1"/>
    <col min="2" max="2" width="5.26953125" style="2" bestFit="1" customWidth="1"/>
    <col min="3" max="3" width="0.54296875" style="4" customWidth="1"/>
    <col min="4" max="4" width="5.453125" style="5" bestFit="1" customWidth="1"/>
    <col min="5" max="5" width="6.54296875" style="5" bestFit="1" customWidth="1"/>
    <col min="6" max="6" width="5.453125" style="5" bestFit="1" customWidth="1"/>
    <col min="7" max="7" width="4.81640625" style="5" bestFit="1" customWidth="1"/>
    <col min="8" max="8" width="0.453125" style="6" customWidth="1"/>
    <col min="9" max="9" width="11.453125" style="5" bestFit="1" customWidth="1"/>
    <col min="10" max="11" width="10.81640625" style="5" bestFit="1" customWidth="1"/>
    <col min="12" max="12" width="6.26953125" style="5" bestFit="1" customWidth="1"/>
    <col min="13" max="13" width="4.453125" style="5" bestFit="1" customWidth="1"/>
    <col min="14" max="14" width="4.1796875" style="5" bestFit="1" customWidth="1"/>
    <col min="15" max="15" width="4.453125" style="5" bestFit="1" customWidth="1"/>
    <col min="16" max="16" width="4.81640625" style="5" bestFit="1" customWidth="1"/>
    <col min="17" max="17" width="4.453125" style="5" bestFit="1" customWidth="1"/>
    <col min="18" max="19" width="4.26953125" style="5" bestFit="1" customWidth="1"/>
    <col min="20" max="21" width="4.54296875" style="5" bestFit="1" customWidth="1"/>
    <col min="22" max="22" width="13.54296875" style="2" bestFit="1" customWidth="1"/>
    <col min="24" max="24" width="31.26953125" bestFit="1" customWidth="1"/>
  </cols>
  <sheetData>
    <row r="1" spans="1:24" x14ac:dyDescent="0.35">
      <c r="A1" s="1" t="s">
        <v>0</v>
      </c>
      <c r="B1" s="1" t="s">
        <v>9</v>
      </c>
      <c r="C1" s="3"/>
      <c r="D1" s="1" t="s">
        <v>41</v>
      </c>
      <c r="E1" s="1" t="s">
        <v>44</v>
      </c>
      <c r="F1" s="1" t="s">
        <v>45</v>
      </c>
      <c r="G1" s="1" t="s">
        <v>177</v>
      </c>
      <c r="H1" s="3"/>
      <c r="I1" s="1" t="s">
        <v>329</v>
      </c>
      <c r="J1" s="1" t="s">
        <v>327</v>
      </c>
      <c r="K1" s="1" t="s">
        <v>328</v>
      </c>
      <c r="L1" s="1" t="s">
        <v>333</v>
      </c>
      <c r="M1" s="1" t="s">
        <v>336</v>
      </c>
      <c r="N1" s="1" t="s">
        <v>337</v>
      </c>
      <c r="O1" s="1" t="s">
        <v>338</v>
      </c>
      <c r="P1" s="1" t="s">
        <v>339</v>
      </c>
      <c r="Q1" s="1" t="s">
        <v>341</v>
      </c>
      <c r="R1" s="1" t="s">
        <v>343</v>
      </c>
      <c r="S1" s="1" t="s">
        <v>345</v>
      </c>
      <c r="T1" s="1" t="s">
        <v>348</v>
      </c>
      <c r="U1" s="1" t="s">
        <v>349</v>
      </c>
      <c r="V1" s="1" t="s">
        <v>116</v>
      </c>
    </row>
    <row r="2" spans="1:24" x14ac:dyDescent="0.35">
      <c r="A2" s="1" t="s">
        <v>5</v>
      </c>
      <c r="B2" s="52" t="s">
        <v>2</v>
      </c>
      <c r="D2" s="5" t="s">
        <v>330</v>
      </c>
      <c r="E2" s="5" t="s">
        <v>330</v>
      </c>
      <c r="F2" s="5" t="s">
        <v>331</v>
      </c>
      <c r="G2" s="5" t="s">
        <v>331</v>
      </c>
      <c r="I2" s="5" t="s">
        <v>68</v>
      </c>
      <c r="J2" s="5" t="s">
        <v>68</v>
      </c>
      <c r="K2" s="5" t="s">
        <v>68</v>
      </c>
      <c r="L2" s="5" t="s">
        <v>68</v>
      </c>
      <c r="M2" s="5">
        <v>96</v>
      </c>
      <c r="N2" s="8">
        <v>98</v>
      </c>
      <c r="O2" s="8">
        <v>100</v>
      </c>
      <c r="P2" s="8">
        <v>91</v>
      </c>
      <c r="Q2" s="8">
        <v>94</v>
      </c>
      <c r="R2" s="8">
        <v>105</v>
      </c>
      <c r="S2" s="8">
        <v>123</v>
      </c>
      <c r="T2" s="8">
        <v>101</v>
      </c>
      <c r="U2" s="8">
        <v>115</v>
      </c>
      <c r="V2" s="9"/>
      <c r="X2" t="s">
        <v>334</v>
      </c>
    </row>
    <row r="3" spans="1:24" x14ac:dyDescent="0.35">
      <c r="A3" s="51" t="s">
        <v>8</v>
      </c>
      <c r="B3" s="52" t="s">
        <v>2</v>
      </c>
      <c r="D3" s="5" t="s">
        <v>331</v>
      </c>
      <c r="E3" s="5" t="s">
        <v>330</v>
      </c>
      <c r="F3" s="5" t="s">
        <v>330</v>
      </c>
      <c r="G3" s="5" t="s">
        <v>330</v>
      </c>
      <c r="I3" s="5" t="s">
        <v>331</v>
      </c>
      <c r="J3" s="5" t="s">
        <v>331</v>
      </c>
      <c r="K3" s="5" t="s">
        <v>331</v>
      </c>
      <c r="L3" s="5" t="s">
        <v>330</v>
      </c>
      <c r="M3" s="8">
        <v>122</v>
      </c>
      <c r="N3" s="8">
        <v>116</v>
      </c>
      <c r="O3" s="8">
        <v>124</v>
      </c>
      <c r="P3" s="8">
        <v>120</v>
      </c>
      <c r="Q3" s="8">
        <v>105</v>
      </c>
      <c r="R3" s="8">
        <v>105</v>
      </c>
      <c r="S3" s="8">
        <v>103</v>
      </c>
      <c r="T3" s="8">
        <v>104</v>
      </c>
      <c r="U3" s="8">
        <v>103</v>
      </c>
      <c r="X3" t="s">
        <v>335</v>
      </c>
    </row>
    <row r="4" spans="1:24" x14ac:dyDescent="0.35">
      <c r="A4" s="51" t="s">
        <v>69</v>
      </c>
      <c r="B4" s="52" t="s">
        <v>2</v>
      </c>
      <c r="D4" s="5" t="s">
        <v>331</v>
      </c>
      <c r="E4" s="5" t="s">
        <v>330</v>
      </c>
      <c r="F4" s="5" t="s">
        <v>330</v>
      </c>
      <c r="G4" s="5" t="s">
        <v>331</v>
      </c>
      <c r="I4" s="5" t="s">
        <v>68</v>
      </c>
      <c r="J4" s="5" t="s">
        <v>331</v>
      </c>
      <c r="K4" s="5" t="s">
        <v>331</v>
      </c>
      <c r="L4" s="5" t="s">
        <v>331</v>
      </c>
      <c r="M4" s="5">
        <v>86</v>
      </c>
      <c r="N4" s="5">
        <v>82</v>
      </c>
      <c r="O4" s="5">
        <v>94</v>
      </c>
      <c r="P4" s="5">
        <v>86</v>
      </c>
      <c r="Q4" s="5">
        <v>100</v>
      </c>
      <c r="R4" s="5">
        <v>79</v>
      </c>
      <c r="S4" s="5">
        <v>91</v>
      </c>
      <c r="T4" s="5">
        <v>69</v>
      </c>
      <c r="U4" s="5">
        <v>88</v>
      </c>
      <c r="X4" t="s">
        <v>340</v>
      </c>
    </row>
    <row r="5" spans="1:24" x14ac:dyDescent="0.35">
      <c r="A5" s="51" t="s">
        <v>29</v>
      </c>
      <c r="B5" s="52" t="s">
        <v>2</v>
      </c>
      <c r="D5" s="5" t="s">
        <v>331</v>
      </c>
      <c r="E5" s="5" t="s">
        <v>331</v>
      </c>
      <c r="F5" s="5" t="s">
        <v>331</v>
      </c>
      <c r="G5" s="5" t="s">
        <v>331</v>
      </c>
      <c r="I5" s="5" t="s">
        <v>331</v>
      </c>
      <c r="J5" s="5" t="s">
        <v>331</v>
      </c>
      <c r="K5" s="5" t="s">
        <v>331</v>
      </c>
      <c r="L5" s="5" t="s">
        <v>330</v>
      </c>
      <c r="M5" s="5">
        <v>67</v>
      </c>
      <c r="N5" s="5">
        <v>71</v>
      </c>
      <c r="O5" s="5">
        <v>86</v>
      </c>
      <c r="P5" s="5">
        <v>68</v>
      </c>
      <c r="Q5" s="5">
        <v>64</v>
      </c>
      <c r="R5" s="5">
        <v>102</v>
      </c>
      <c r="S5" s="5">
        <v>85</v>
      </c>
      <c r="T5" s="5">
        <v>104</v>
      </c>
      <c r="U5" s="5">
        <v>85</v>
      </c>
      <c r="X5" t="s">
        <v>342</v>
      </c>
    </row>
    <row r="6" spans="1:24" ht="18" customHeight="1" x14ac:dyDescent="0.35">
      <c r="A6" s="51" t="s">
        <v>30</v>
      </c>
      <c r="B6" s="52" t="s">
        <v>2</v>
      </c>
      <c r="D6" s="5" t="s">
        <v>330</v>
      </c>
      <c r="E6" s="5" t="s">
        <v>331</v>
      </c>
      <c r="F6" s="5" t="s">
        <v>331</v>
      </c>
      <c r="G6" s="5" t="s">
        <v>331</v>
      </c>
      <c r="I6" s="5" t="s">
        <v>68</v>
      </c>
      <c r="J6" s="5" t="s">
        <v>68</v>
      </c>
      <c r="K6" s="5" t="s">
        <v>68</v>
      </c>
      <c r="L6" s="5" t="s">
        <v>68</v>
      </c>
      <c r="M6" s="5">
        <v>67</v>
      </c>
      <c r="N6" s="5">
        <v>71</v>
      </c>
      <c r="O6" s="5">
        <v>86</v>
      </c>
      <c r="P6" s="5">
        <v>68</v>
      </c>
      <c r="Q6" s="5">
        <v>64</v>
      </c>
      <c r="R6" s="5">
        <v>102</v>
      </c>
      <c r="S6" s="5">
        <v>85</v>
      </c>
      <c r="T6" s="5">
        <v>104</v>
      </c>
      <c r="U6" s="5">
        <v>85</v>
      </c>
      <c r="X6" t="s">
        <v>344</v>
      </c>
    </row>
    <row r="7" spans="1:24" ht="18" customHeight="1" x14ac:dyDescent="0.35">
      <c r="A7" s="51" t="s">
        <v>12</v>
      </c>
      <c r="B7" s="52" t="s">
        <v>2</v>
      </c>
      <c r="D7" s="5" t="s">
        <v>330</v>
      </c>
      <c r="E7" s="5" t="s">
        <v>330</v>
      </c>
      <c r="F7" s="5" t="s">
        <v>330</v>
      </c>
      <c r="G7" s="5" t="s">
        <v>330</v>
      </c>
      <c r="I7" s="5" t="s">
        <v>331</v>
      </c>
      <c r="J7" s="5" t="s">
        <v>331</v>
      </c>
      <c r="K7" s="5" t="s">
        <v>331</v>
      </c>
      <c r="L7" s="5" t="s">
        <v>330</v>
      </c>
      <c r="M7" s="8">
        <v>105</v>
      </c>
      <c r="N7" s="8">
        <v>108</v>
      </c>
      <c r="O7" s="8">
        <v>116</v>
      </c>
      <c r="P7" s="8">
        <v>91</v>
      </c>
      <c r="Q7" s="8">
        <v>94</v>
      </c>
      <c r="R7" s="8">
        <v>124</v>
      </c>
      <c r="S7" s="8">
        <v>112</v>
      </c>
      <c r="T7" s="8">
        <v>110</v>
      </c>
      <c r="U7" s="8">
        <v>103</v>
      </c>
      <c r="X7" t="s">
        <v>346</v>
      </c>
    </row>
    <row r="8" spans="1:24" ht="18" customHeight="1" x14ac:dyDescent="0.35">
      <c r="A8" s="51" t="s">
        <v>14</v>
      </c>
      <c r="B8" s="52" t="s">
        <v>2</v>
      </c>
      <c r="D8" s="5" t="s">
        <v>330</v>
      </c>
      <c r="E8" s="5" t="s">
        <v>330</v>
      </c>
      <c r="F8" s="5" t="s">
        <v>331</v>
      </c>
      <c r="G8" s="5" t="s">
        <v>330</v>
      </c>
      <c r="I8" s="5" t="s">
        <v>68</v>
      </c>
      <c r="J8" s="5" t="s">
        <v>331</v>
      </c>
      <c r="K8" s="5" t="s">
        <v>331</v>
      </c>
      <c r="L8" s="5" t="s">
        <v>330</v>
      </c>
      <c r="M8" s="8">
        <v>106</v>
      </c>
      <c r="N8" s="8">
        <v>106</v>
      </c>
      <c r="O8" s="8">
        <v>110</v>
      </c>
      <c r="P8" s="8">
        <v>100</v>
      </c>
      <c r="Q8" s="8">
        <v>102</v>
      </c>
      <c r="R8" s="8">
        <v>99</v>
      </c>
      <c r="S8" s="8">
        <v>88</v>
      </c>
      <c r="T8" s="8">
        <v>96</v>
      </c>
      <c r="U8" s="8">
        <v>88</v>
      </c>
      <c r="X8" t="s">
        <v>347</v>
      </c>
    </row>
    <row r="9" spans="1:24" ht="18" customHeight="1" x14ac:dyDescent="0.35">
      <c r="A9" s="51" t="s">
        <v>31</v>
      </c>
      <c r="B9" s="52" t="s">
        <v>2</v>
      </c>
      <c r="D9" s="5" t="s">
        <v>330</v>
      </c>
      <c r="E9" s="5" t="s">
        <v>330</v>
      </c>
      <c r="F9" s="5" t="s">
        <v>331</v>
      </c>
      <c r="G9" s="5" t="s">
        <v>330</v>
      </c>
      <c r="I9" s="5" t="s">
        <v>68</v>
      </c>
      <c r="J9" s="5" t="s">
        <v>68</v>
      </c>
      <c r="K9" s="5" t="s">
        <v>68</v>
      </c>
      <c r="L9" s="5" t="s">
        <v>68</v>
      </c>
      <c r="M9" s="8">
        <v>137</v>
      </c>
      <c r="N9" s="8">
        <v>139</v>
      </c>
      <c r="O9" s="8">
        <v>128</v>
      </c>
      <c r="P9" s="8">
        <v>112</v>
      </c>
      <c r="Q9" s="8">
        <v>137</v>
      </c>
      <c r="R9" s="8">
        <v>136</v>
      </c>
      <c r="S9" s="8">
        <v>115</v>
      </c>
      <c r="T9" s="8">
        <v>132</v>
      </c>
      <c r="U9" s="8">
        <v>118</v>
      </c>
      <c r="X9" t="s">
        <v>452</v>
      </c>
    </row>
    <row r="10" spans="1:24" ht="18" customHeight="1" x14ac:dyDescent="0.35">
      <c r="A10" s="51" t="s">
        <v>33</v>
      </c>
      <c r="B10" s="52" t="s">
        <v>2</v>
      </c>
      <c r="D10" s="5" t="s">
        <v>330</v>
      </c>
      <c r="E10" s="5" t="s">
        <v>330</v>
      </c>
      <c r="F10" s="5" t="s">
        <v>331</v>
      </c>
      <c r="G10" s="5" t="s">
        <v>331</v>
      </c>
      <c r="I10" s="5" t="s">
        <v>68</v>
      </c>
      <c r="J10" s="5" t="s">
        <v>68</v>
      </c>
      <c r="K10" s="5" t="s">
        <v>68</v>
      </c>
      <c r="L10" s="5" t="s">
        <v>68</v>
      </c>
      <c r="M10" s="8">
        <v>99</v>
      </c>
      <c r="N10" s="8">
        <v>86</v>
      </c>
      <c r="O10" s="8">
        <v>110</v>
      </c>
      <c r="P10" s="8">
        <v>85</v>
      </c>
      <c r="Q10" s="8">
        <v>117</v>
      </c>
      <c r="R10" s="8">
        <v>114</v>
      </c>
      <c r="S10" s="8">
        <v>126</v>
      </c>
      <c r="T10" s="8">
        <v>107</v>
      </c>
      <c r="U10" s="8">
        <v>121</v>
      </c>
    </row>
    <row r="11" spans="1:24" ht="18" customHeight="1" x14ac:dyDescent="0.35">
      <c r="A11" s="51" t="s">
        <v>35</v>
      </c>
      <c r="B11" s="52" t="s">
        <v>2</v>
      </c>
      <c r="D11" s="5" t="s">
        <v>331</v>
      </c>
      <c r="E11" s="5" t="s">
        <v>330</v>
      </c>
      <c r="F11" s="5" t="s">
        <v>331</v>
      </c>
      <c r="G11" s="5" t="s">
        <v>330</v>
      </c>
      <c r="I11" s="5" t="s">
        <v>68</v>
      </c>
      <c r="J11" s="5" t="s">
        <v>68</v>
      </c>
      <c r="K11" s="5" t="s">
        <v>68</v>
      </c>
      <c r="L11" s="5" t="s">
        <v>68</v>
      </c>
      <c r="M11" s="8">
        <v>61</v>
      </c>
      <c r="N11" s="8">
        <v>61</v>
      </c>
      <c r="O11" s="8">
        <v>78</v>
      </c>
      <c r="P11" s="8">
        <v>63</v>
      </c>
      <c r="Q11" s="8">
        <v>72</v>
      </c>
      <c r="R11" s="8">
        <v>70</v>
      </c>
      <c r="S11" s="8">
        <v>71</v>
      </c>
      <c r="T11" s="8">
        <v>74</v>
      </c>
      <c r="U11" s="8">
        <v>60</v>
      </c>
    </row>
    <row r="12" spans="1:24" ht="18" customHeight="1" x14ac:dyDescent="0.35">
      <c r="A12" s="51" t="s">
        <v>37</v>
      </c>
      <c r="B12" s="52" t="s">
        <v>2</v>
      </c>
      <c r="D12" s="5" t="s">
        <v>330</v>
      </c>
      <c r="E12" s="5" t="s">
        <v>330</v>
      </c>
      <c r="F12" s="5" t="s">
        <v>331</v>
      </c>
      <c r="G12" s="5" t="s">
        <v>330</v>
      </c>
      <c r="I12" s="5" t="s">
        <v>68</v>
      </c>
      <c r="J12" s="5" t="s">
        <v>68</v>
      </c>
      <c r="K12" s="5" t="s">
        <v>68</v>
      </c>
      <c r="L12" s="5" t="s">
        <v>68</v>
      </c>
      <c r="M12" s="8">
        <v>69</v>
      </c>
      <c r="N12" s="8">
        <v>75</v>
      </c>
      <c r="O12" s="8">
        <v>70</v>
      </c>
      <c r="P12" s="8">
        <v>63</v>
      </c>
      <c r="Q12" s="8">
        <v>94</v>
      </c>
      <c r="R12" s="8">
        <v>72</v>
      </c>
      <c r="S12" s="8">
        <v>74</v>
      </c>
      <c r="T12" s="8">
        <v>70</v>
      </c>
      <c r="U12" s="8">
        <v>72</v>
      </c>
    </row>
    <row r="13" spans="1:24" ht="18" customHeight="1" x14ac:dyDescent="0.35">
      <c r="A13" s="51" t="s">
        <v>38</v>
      </c>
      <c r="B13" s="52" t="s">
        <v>2</v>
      </c>
      <c r="D13" s="5" t="s">
        <v>330</v>
      </c>
      <c r="E13" s="5" t="s">
        <v>330</v>
      </c>
      <c r="F13" s="5" t="s">
        <v>331</v>
      </c>
      <c r="G13" s="5" t="s">
        <v>331</v>
      </c>
      <c r="I13" s="5" t="s">
        <v>68</v>
      </c>
      <c r="J13" s="5" t="s">
        <v>68</v>
      </c>
      <c r="K13" s="5" t="s">
        <v>68</v>
      </c>
      <c r="L13" s="5" t="s">
        <v>68</v>
      </c>
      <c r="M13" s="8">
        <v>69</v>
      </c>
      <c r="N13" s="8">
        <v>75</v>
      </c>
      <c r="O13" s="8">
        <v>70</v>
      </c>
      <c r="P13" s="8">
        <v>63</v>
      </c>
      <c r="Q13" s="8">
        <v>94</v>
      </c>
      <c r="R13" s="8">
        <v>72</v>
      </c>
      <c r="S13" s="8">
        <v>74</v>
      </c>
      <c r="T13" s="8">
        <v>70</v>
      </c>
      <c r="U13" s="8">
        <v>72</v>
      </c>
    </row>
    <row r="14" spans="1:24" ht="18" customHeight="1" x14ac:dyDescent="0.35">
      <c r="A14" s="51" t="s">
        <v>39</v>
      </c>
      <c r="B14" s="52" t="s">
        <v>2</v>
      </c>
      <c r="D14" s="5" t="s">
        <v>330</v>
      </c>
      <c r="E14" s="5" t="s">
        <v>330</v>
      </c>
      <c r="F14" s="5" t="s">
        <v>331</v>
      </c>
      <c r="G14" s="5" t="s">
        <v>331</v>
      </c>
      <c r="I14" s="5" t="s">
        <v>331</v>
      </c>
      <c r="J14" s="5" t="s">
        <v>331</v>
      </c>
      <c r="K14" s="5" t="s">
        <v>331</v>
      </c>
      <c r="L14" s="5" t="s">
        <v>331</v>
      </c>
      <c r="M14" s="5">
        <v>94</v>
      </c>
      <c r="N14" s="5">
        <v>116</v>
      </c>
      <c r="O14" s="5">
        <v>94</v>
      </c>
      <c r="P14" s="5">
        <v>71</v>
      </c>
      <c r="Q14" s="5">
        <v>94</v>
      </c>
      <c r="R14" s="5">
        <v>92</v>
      </c>
      <c r="S14" s="5">
        <v>94</v>
      </c>
      <c r="T14" s="5">
        <v>86</v>
      </c>
      <c r="U14" s="5">
        <v>97</v>
      </c>
    </row>
    <row r="15" spans="1:24" ht="18" customHeight="1" x14ac:dyDescent="0.35">
      <c r="A15" s="51" t="s">
        <v>40</v>
      </c>
      <c r="B15" s="52" t="s">
        <v>2</v>
      </c>
      <c r="D15" s="5" t="s">
        <v>331</v>
      </c>
      <c r="E15" s="5" t="s">
        <v>330</v>
      </c>
      <c r="F15" s="5" t="s">
        <v>331</v>
      </c>
      <c r="G15" s="5" t="s">
        <v>330</v>
      </c>
      <c r="I15" s="5" t="s">
        <v>331</v>
      </c>
      <c r="J15" s="5" t="s">
        <v>331</v>
      </c>
      <c r="K15" s="5" t="s">
        <v>331</v>
      </c>
      <c r="L15" s="5" t="s">
        <v>331</v>
      </c>
      <c r="M15" s="5">
        <v>94</v>
      </c>
      <c r="N15" s="5">
        <v>116</v>
      </c>
      <c r="O15" s="5">
        <v>94</v>
      </c>
      <c r="P15" s="5">
        <v>71</v>
      </c>
      <c r="Q15" s="5">
        <v>94</v>
      </c>
      <c r="R15" s="5">
        <v>92</v>
      </c>
      <c r="S15" s="5">
        <v>94</v>
      </c>
      <c r="T15" s="5">
        <v>86</v>
      </c>
      <c r="U15" s="5">
        <v>97</v>
      </c>
    </row>
    <row r="16" spans="1:24" x14ac:dyDescent="0.35">
      <c r="A16" s="51" t="s">
        <v>25</v>
      </c>
      <c r="B16" s="52" t="s">
        <v>2</v>
      </c>
      <c r="D16" s="5" t="s">
        <v>331</v>
      </c>
      <c r="E16" s="5" t="s">
        <v>331</v>
      </c>
      <c r="F16" s="5" t="s">
        <v>331</v>
      </c>
      <c r="G16" s="5" t="s">
        <v>330</v>
      </c>
      <c r="I16" s="5" t="s">
        <v>68</v>
      </c>
      <c r="J16" s="5" t="s">
        <v>68</v>
      </c>
      <c r="K16" s="5" t="s">
        <v>68</v>
      </c>
      <c r="L16" s="5" t="s">
        <v>68</v>
      </c>
      <c r="M16" s="8">
        <v>87</v>
      </c>
      <c r="N16" s="8">
        <v>92</v>
      </c>
      <c r="O16" s="8">
        <v>85</v>
      </c>
      <c r="P16" s="8">
        <v>97</v>
      </c>
      <c r="Q16" s="8">
        <v>88</v>
      </c>
      <c r="R16" s="8">
        <v>94</v>
      </c>
      <c r="S16" s="8">
        <v>109</v>
      </c>
      <c r="T16" s="8">
        <v>96</v>
      </c>
      <c r="U16" s="8">
        <v>112</v>
      </c>
    </row>
    <row r="17" spans="1:22" x14ac:dyDescent="0.35">
      <c r="A17" s="51" t="s">
        <v>63</v>
      </c>
      <c r="B17" s="52" t="s">
        <v>2</v>
      </c>
      <c r="D17" s="5" t="s">
        <v>68</v>
      </c>
      <c r="E17" s="5" t="s">
        <v>68</v>
      </c>
      <c r="F17" s="5" t="s">
        <v>68</v>
      </c>
      <c r="G17" s="5" t="s">
        <v>68</v>
      </c>
      <c r="I17" s="5" t="s">
        <v>68</v>
      </c>
      <c r="J17" s="5" t="s">
        <v>331</v>
      </c>
      <c r="K17" s="5" t="s">
        <v>331</v>
      </c>
      <c r="L17" s="5" t="s">
        <v>330</v>
      </c>
      <c r="M17" s="5">
        <v>97</v>
      </c>
      <c r="N17" s="5">
        <v>112</v>
      </c>
      <c r="O17" s="5">
        <v>82</v>
      </c>
      <c r="P17" s="5">
        <v>85</v>
      </c>
      <c r="Q17" s="5">
        <v>97</v>
      </c>
      <c r="R17" s="5">
        <v>124</v>
      </c>
      <c r="S17" s="5">
        <v>118</v>
      </c>
      <c r="T17" s="5">
        <v>123</v>
      </c>
      <c r="U17" s="5">
        <v>118</v>
      </c>
    </row>
    <row r="18" spans="1:22" x14ac:dyDescent="0.35">
      <c r="A18" s="51" t="s">
        <v>65</v>
      </c>
      <c r="B18" s="52" t="s">
        <v>2</v>
      </c>
      <c r="D18" s="5" t="s">
        <v>331</v>
      </c>
      <c r="E18" s="5" t="s">
        <v>330</v>
      </c>
      <c r="F18" s="5" t="s">
        <v>331</v>
      </c>
      <c r="G18" s="5" t="s">
        <v>331</v>
      </c>
      <c r="I18" s="5" t="s">
        <v>68</v>
      </c>
      <c r="J18" s="5" t="s">
        <v>331</v>
      </c>
      <c r="K18" s="5" t="s">
        <v>331</v>
      </c>
      <c r="L18" s="5" t="s">
        <v>330</v>
      </c>
      <c r="M18" s="8">
        <v>73</v>
      </c>
      <c r="N18" s="8">
        <v>84</v>
      </c>
      <c r="O18" s="8">
        <v>68</v>
      </c>
      <c r="P18" s="8">
        <v>86</v>
      </c>
      <c r="Q18" s="8">
        <v>69</v>
      </c>
      <c r="R18" s="8">
        <v>111</v>
      </c>
      <c r="S18" s="8">
        <v>91</v>
      </c>
      <c r="T18" s="8">
        <v>107</v>
      </c>
      <c r="U18" s="8">
        <v>103</v>
      </c>
    </row>
    <row r="19" spans="1:22" x14ac:dyDescent="0.35">
      <c r="A19" s="51" t="s">
        <v>67</v>
      </c>
      <c r="B19" s="52" t="s">
        <v>2</v>
      </c>
      <c r="D19" s="5" t="s">
        <v>330</v>
      </c>
      <c r="E19" s="5" t="s">
        <v>330</v>
      </c>
      <c r="F19" s="5" t="s">
        <v>331</v>
      </c>
      <c r="G19" s="5" t="s">
        <v>331</v>
      </c>
      <c r="I19" s="5" t="s">
        <v>68</v>
      </c>
      <c r="J19" s="5" t="s">
        <v>68</v>
      </c>
      <c r="K19" s="5" t="s">
        <v>68</v>
      </c>
      <c r="L19" s="5" t="s">
        <v>68</v>
      </c>
      <c r="M19" s="5">
        <v>96</v>
      </c>
      <c r="N19" s="5">
        <v>95</v>
      </c>
      <c r="O19" s="5">
        <v>99</v>
      </c>
      <c r="P19" s="5">
        <v>98</v>
      </c>
      <c r="Q19" s="5">
        <v>105</v>
      </c>
      <c r="R19" s="5" t="s">
        <v>350</v>
      </c>
      <c r="S19" s="5" t="s">
        <v>350</v>
      </c>
      <c r="T19" s="5" t="s">
        <v>350</v>
      </c>
      <c r="U19" s="5" t="s">
        <v>350</v>
      </c>
    </row>
    <row r="20" spans="1:22" x14ac:dyDescent="0.35">
      <c r="A20" s="51" t="s">
        <v>26</v>
      </c>
      <c r="B20" s="52" t="s">
        <v>2</v>
      </c>
      <c r="D20" s="5" t="s">
        <v>330</v>
      </c>
      <c r="E20" s="5" t="s">
        <v>330</v>
      </c>
      <c r="F20" s="5" t="s">
        <v>331</v>
      </c>
      <c r="G20" s="5" t="s">
        <v>330</v>
      </c>
      <c r="I20" s="5" t="s">
        <v>331</v>
      </c>
      <c r="J20" s="5" t="s">
        <v>331</v>
      </c>
      <c r="K20" s="5" t="s">
        <v>331</v>
      </c>
      <c r="L20" s="5" t="s">
        <v>330</v>
      </c>
      <c r="M20" s="8">
        <v>93</v>
      </c>
      <c r="N20" s="8">
        <v>84</v>
      </c>
      <c r="O20" s="8">
        <v>98</v>
      </c>
      <c r="P20" s="8">
        <v>88</v>
      </c>
      <c r="Q20" s="8">
        <v>89</v>
      </c>
      <c r="R20" s="8">
        <v>94</v>
      </c>
      <c r="S20" s="53">
        <v>100</v>
      </c>
      <c r="T20" s="53">
        <v>101</v>
      </c>
      <c r="U20" s="53">
        <v>100</v>
      </c>
    </row>
    <row r="21" spans="1:22" ht="1.5" customHeight="1" x14ac:dyDescent="0.35">
      <c r="A21" s="58"/>
      <c r="B21" s="4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4"/>
    </row>
    <row r="22" spans="1:22" x14ac:dyDescent="0.35">
      <c r="A22" s="51" t="s">
        <v>10</v>
      </c>
      <c r="B22" s="2" t="s">
        <v>3</v>
      </c>
      <c r="D22" s="5" t="s">
        <v>331</v>
      </c>
      <c r="E22" s="5" t="s">
        <v>330</v>
      </c>
      <c r="F22" s="5" t="s">
        <v>331</v>
      </c>
      <c r="G22" s="5" t="s">
        <v>330</v>
      </c>
      <c r="I22" s="5" t="s">
        <v>330</v>
      </c>
      <c r="J22" s="5" t="s">
        <v>331</v>
      </c>
      <c r="K22" s="5" t="s">
        <v>331</v>
      </c>
      <c r="L22" s="5" t="s">
        <v>330</v>
      </c>
      <c r="M22" s="8">
        <v>100</v>
      </c>
      <c r="N22" s="8">
        <v>89</v>
      </c>
      <c r="O22" s="8">
        <v>105</v>
      </c>
      <c r="P22" s="8">
        <v>94</v>
      </c>
      <c r="Q22" s="8">
        <v>108</v>
      </c>
      <c r="R22" s="8" t="s">
        <v>451</v>
      </c>
      <c r="S22" s="8" t="s">
        <v>451</v>
      </c>
      <c r="T22" s="8" t="s">
        <v>451</v>
      </c>
      <c r="U22" s="8" t="s">
        <v>451</v>
      </c>
    </row>
    <row r="23" spans="1:22" x14ac:dyDescent="0.35">
      <c r="A23" s="51" t="s">
        <v>13</v>
      </c>
      <c r="B23" s="2" t="s">
        <v>3</v>
      </c>
      <c r="D23" s="5" t="s">
        <v>330</v>
      </c>
      <c r="E23" s="5" t="s">
        <v>330</v>
      </c>
      <c r="F23" s="5" t="s">
        <v>331</v>
      </c>
      <c r="G23" s="5" t="s">
        <v>331</v>
      </c>
      <c r="I23" s="5" t="s">
        <v>68</v>
      </c>
      <c r="J23" s="5" t="s">
        <v>331</v>
      </c>
      <c r="K23" s="5" t="s">
        <v>331</v>
      </c>
      <c r="L23" s="5" t="s">
        <v>330</v>
      </c>
      <c r="M23" s="8">
        <v>105</v>
      </c>
      <c r="N23" s="8">
        <v>108</v>
      </c>
      <c r="O23" s="8">
        <v>116</v>
      </c>
      <c r="P23" s="8">
        <v>91</v>
      </c>
      <c r="Q23" s="8">
        <v>94</v>
      </c>
      <c r="R23" s="8">
        <v>124</v>
      </c>
      <c r="S23" s="8">
        <v>112</v>
      </c>
      <c r="T23" s="8">
        <v>110</v>
      </c>
      <c r="U23" s="8">
        <v>103</v>
      </c>
    </row>
    <row r="24" spans="1:22" x14ac:dyDescent="0.35">
      <c r="A24" s="51" t="s">
        <v>73</v>
      </c>
      <c r="B24" s="2" t="s">
        <v>3</v>
      </c>
      <c r="D24" s="5" t="s">
        <v>331</v>
      </c>
      <c r="E24" s="5" t="s">
        <v>330</v>
      </c>
      <c r="F24" s="5" t="s">
        <v>330</v>
      </c>
      <c r="G24" s="5" t="s">
        <v>330</v>
      </c>
      <c r="I24" s="5" t="s">
        <v>68</v>
      </c>
      <c r="J24" s="5" t="s">
        <v>331</v>
      </c>
      <c r="K24" s="5" t="s">
        <v>331</v>
      </c>
      <c r="L24" s="5" t="s">
        <v>331</v>
      </c>
      <c r="M24" s="5">
        <v>115</v>
      </c>
      <c r="N24" s="5">
        <v>124</v>
      </c>
      <c r="O24" s="5">
        <v>106</v>
      </c>
      <c r="P24" s="5">
        <v>114</v>
      </c>
      <c r="Q24" s="5">
        <v>102</v>
      </c>
      <c r="R24" s="5">
        <v>114</v>
      </c>
      <c r="S24" s="5">
        <v>106</v>
      </c>
      <c r="T24" s="5">
        <v>119</v>
      </c>
      <c r="U24" s="5">
        <v>106</v>
      </c>
    </row>
    <row r="25" spans="1:22" x14ac:dyDescent="0.35">
      <c r="A25" s="51" t="s">
        <v>17</v>
      </c>
      <c r="B25" s="2" t="s">
        <v>3</v>
      </c>
      <c r="D25" s="5" t="s">
        <v>331</v>
      </c>
      <c r="E25" s="5" t="s">
        <v>331</v>
      </c>
      <c r="F25" s="5" t="s">
        <v>331</v>
      </c>
      <c r="G25" s="5" t="s">
        <v>330</v>
      </c>
      <c r="I25" s="5" t="s">
        <v>331</v>
      </c>
      <c r="J25" s="5" t="s">
        <v>331</v>
      </c>
      <c r="K25" s="5" t="s">
        <v>330</v>
      </c>
      <c r="L25" s="5" t="s">
        <v>331</v>
      </c>
      <c r="M25" s="8">
        <v>103</v>
      </c>
      <c r="N25" s="8">
        <v>104</v>
      </c>
      <c r="O25" s="8">
        <v>106</v>
      </c>
      <c r="P25" s="8">
        <v>103</v>
      </c>
      <c r="Q25" s="8">
        <v>94</v>
      </c>
      <c r="R25" s="8">
        <v>102</v>
      </c>
      <c r="S25" s="8">
        <v>103</v>
      </c>
      <c r="T25" s="8">
        <v>98</v>
      </c>
      <c r="U25" s="8">
        <v>97</v>
      </c>
    </row>
    <row r="26" spans="1:22" x14ac:dyDescent="0.35">
      <c r="A26" s="51" t="s">
        <v>18</v>
      </c>
      <c r="B26" s="2" t="s">
        <v>3</v>
      </c>
      <c r="D26" s="5" t="s">
        <v>330</v>
      </c>
      <c r="E26" s="5" t="s">
        <v>330</v>
      </c>
      <c r="F26" s="5" t="s">
        <v>331</v>
      </c>
      <c r="G26" s="5" t="s">
        <v>331</v>
      </c>
      <c r="I26" s="5" t="s">
        <v>68</v>
      </c>
      <c r="J26" s="5" t="s">
        <v>68</v>
      </c>
      <c r="K26" s="5" t="s">
        <v>68</v>
      </c>
      <c r="L26" s="5" t="s">
        <v>68</v>
      </c>
      <c r="M26" s="8">
        <v>93</v>
      </c>
      <c r="N26" s="8">
        <v>94</v>
      </c>
      <c r="O26" s="8">
        <v>92</v>
      </c>
      <c r="P26" s="8">
        <v>83</v>
      </c>
      <c r="Q26" s="8">
        <v>100</v>
      </c>
      <c r="R26" s="8">
        <v>79</v>
      </c>
      <c r="S26" s="8">
        <v>94</v>
      </c>
      <c r="T26" s="8">
        <v>84</v>
      </c>
      <c r="U26" s="8">
        <v>100</v>
      </c>
    </row>
    <row r="27" spans="1:22" x14ac:dyDescent="0.35">
      <c r="A27" s="51" t="s">
        <v>82</v>
      </c>
      <c r="B27" s="2" t="s">
        <v>3</v>
      </c>
      <c r="D27" s="5" t="s">
        <v>330</v>
      </c>
      <c r="E27" s="5" t="s">
        <v>330</v>
      </c>
      <c r="F27" s="5" t="s">
        <v>331</v>
      </c>
      <c r="G27" s="5" t="s">
        <v>331</v>
      </c>
      <c r="I27" s="5" t="s">
        <v>68</v>
      </c>
      <c r="J27" s="5" t="s">
        <v>331</v>
      </c>
      <c r="K27" s="5" t="s">
        <v>331</v>
      </c>
      <c r="L27" s="5" t="s">
        <v>331</v>
      </c>
      <c r="M27" s="5">
        <v>94</v>
      </c>
      <c r="N27" s="5">
        <v>91</v>
      </c>
      <c r="O27" s="5">
        <v>98</v>
      </c>
      <c r="P27" s="5">
        <v>88</v>
      </c>
      <c r="Q27" s="5">
        <v>94</v>
      </c>
      <c r="R27" s="5">
        <v>114</v>
      </c>
      <c r="S27" s="5">
        <v>112</v>
      </c>
      <c r="T27" s="5">
        <v>110</v>
      </c>
      <c r="U27" s="5">
        <v>106</v>
      </c>
    </row>
    <row r="28" spans="1:22" x14ac:dyDescent="0.35">
      <c r="A28" s="51" t="s">
        <v>84</v>
      </c>
      <c r="B28" s="2" t="s">
        <v>3</v>
      </c>
      <c r="D28" s="5" t="s">
        <v>331</v>
      </c>
      <c r="E28" s="5" t="s">
        <v>330</v>
      </c>
      <c r="F28" s="5" t="s">
        <v>331</v>
      </c>
      <c r="G28" s="5" t="s">
        <v>330</v>
      </c>
      <c r="I28" s="5" t="s">
        <v>68</v>
      </c>
      <c r="J28" s="5" t="s">
        <v>331</v>
      </c>
      <c r="K28" s="5" t="s">
        <v>331</v>
      </c>
      <c r="L28" s="5" t="s">
        <v>330</v>
      </c>
      <c r="M28" s="8">
        <v>104</v>
      </c>
      <c r="N28" s="8">
        <v>110</v>
      </c>
      <c r="O28" s="8">
        <v>106</v>
      </c>
      <c r="P28" s="8">
        <v>91</v>
      </c>
      <c r="Q28" s="8">
        <v>102</v>
      </c>
      <c r="R28" s="8">
        <v>114</v>
      </c>
      <c r="S28" s="8">
        <v>109</v>
      </c>
      <c r="T28" s="8">
        <v>119</v>
      </c>
      <c r="U28" s="8">
        <v>109</v>
      </c>
    </row>
    <row r="29" spans="1:22" x14ac:dyDescent="0.35">
      <c r="A29" s="51" t="s">
        <v>101</v>
      </c>
      <c r="B29" s="2" t="s">
        <v>3</v>
      </c>
      <c r="D29" s="5" t="s">
        <v>331</v>
      </c>
      <c r="E29" s="5" t="s">
        <v>330</v>
      </c>
      <c r="F29" s="5" t="s">
        <v>331</v>
      </c>
      <c r="G29" s="5" t="s">
        <v>330</v>
      </c>
      <c r="I29" s="5" t="s">
        <v>68</v>
      </c>
      <c r="J29" s="5" t="s">
        <v>68</v>
      </c>
      <c r="K29" s="5" t="s">
        <v>68</v>
      </c>
      <c r="L29" s="5" t="s">
        <v>68</v>
      </c>
      <c r="M29" s="62">
        <v>76</v>
      </c>
      <c r="N29" s="62">
        <v>84</v>
      </c>
      <c r="O29" s="62">
        <v>76</v>
      </c>
      <c r="P29" s="62">
        <v>74</v>
      </c>
      <c r="Q29" s="62">
        <v>89</v>
      </c>
      <c r="R29" s="8">
        <v>94</v>
      </c>
      <c r="S29" s="8">
        <v>103</v>
      </c>
      <c r="T29" s="8">
        <v>89</v>
      </c>
      <c r="U29" s="8">
        <v>97</v>
      </c>
    </row>
    <row r="30" spans="1:22" x14ac:dyDescent="0.35">
      <c r="A30" s="51" t="s">
        <v>106</v>
      </c>
      <c r="B30" s="2" t="s">
        <v>3</v>
      </c>
      <c r="D30" s="5" t="s">
        <v>330</v>
      </c>
      <c r="E30" s="5" t="s">
        <v>331</v>
      </c>
      <c r="F30" s="5" t="s">
        <v>331</v>
      </c>
      <c r="G30" s="5" t="s">
        <v>331</v>
      </c>
      <c r="I30" s="5" t="s">
        <v>68</v>
      </c>
      <c r="J30" s="5" t="s">
        <v>68</v>
      </c>
      <c r="K30" s="5" t="s">
        <v>68</v>
      </c>
      <c r="L30" s="5" t="s">
        <v>68</v>
      </c>
      <c r="M30" s="8">
        <v>100</v>
      </c>
      <c r="N30" s="8">
        <v>122</v>
      </c>
      <c r="O30" s="8">
        <v>80</v>
      </c>
      <c r="P30" s="8">
        <v>109</v>
      </c>
      <c r="Q30" s="8">
        <v>89</v>
      </c>
      <c r="R30" s="8">
        <v>94</v>
      </c>
      <c r="S30" s="8">
        <v>94</v>
      </c>
      <c r="T30" s="8">
        <v>104</v>
      </c>
      <c r="U30" s="8">
        <v>94</v>
      </c>
    </row>
    <row r="31" spans="1:22" x14ac:dyDescent="0.35">
      <c r="A31" s="51" t="s">
        <v>107</v>
      </c>
      <c r="B31" s="2" t="s">
        <v>3</v>
      </c>
      <c r="D31" s="5" t="s">
        <v>331</v>
      </c>
      <c r="E31" s="5" t="s">
        <v>330</v>
      </c>
      <c r="F31" s="5" t="s">
        <v>331</v>
      </c>
      <c r="G31" s="5" t="s">
        <v>331</v>
      </c>
      <c r="I31" s="5" t="s">
        <v>68</v>
      </c>
      <c r="J31" s="5" t="s">
        <v>68</v>
      </c>
      <c r="K31" s="5" t="s">
        <v>68</v>
      </c>
      <c r="L31" s="5" t="s">
        <v>68</v>
      </c>
      <c r="M31" s="5" t="s">
        <v>350</v>
      </c>
      <c r="N31" s="5" t="s">
        <v>350</v>
      </c>
      <c r="O31" s="5" t="s">
        <v>350</v>
      </c>
      <c r="P31" s="5" t="s">
        <v>350</v>
      </c>
      <c r="Q31" s="5" t="s">
        <v>350</v>
      </c>
      <c r="R31" s="5" t="s">
        <v>350</v>
      </c>
      <c r="S31" s="5" t="s">
        <v>350</v>
      </c>
      <c r="T31" s="5" t="s">
        <v>350</v>
      </c>
      <c r="U31" s="5" t="s">
        <v>350</v>
      </c>
    </row>
    <row r="32" spans="1:22" x14ac:dyDescent="0.35">
      <c r="A32" s="51" t="s">
        <v>108</v>
      </c>
      <c r="B32" s="2" t="s">
        <v>3</v>
      </c>
      <c r="D32" s="5" t="s">
        <v>330</v>
      </c>
      <c r="E32" s="5" t="s">
        <v>330</v>
      </c>
      <c r="F32" s="5" t="s">
        <v>331</v>
      </c>
      <c r="G32" s="5" t="s">
        <v>331</v>
      </c>
      <c r="I32" s="5" t="s">
        <v>331</v>
      </c>
      <c r="J32" s="5" t="s">
        <v>331</v>
      </c>
      <c r="K32" s="5" t="s">
        <v>331</v>
      </c>
      <c r="L32" s="5" t="s">
        <v>331</v>
      </c>
      <c r="M32" s="5" t="s">
        <v>350</v>
      </c>
      <c r="N32" s="5" t="s">
        <v>350</v>
      </c>
      <c r="O32" s="5" t="s">
        <v>350</v>
      </c>
      <c r="P32" s="5" t="s">
        <v>350</v>
      </c>
      <c r="Q32" s="5" t="s">
        <v>350</v>
      </c>
      <c r="R32" s="5" t="s">
        <v>350</v>
      </c>
      <c r="S32" s="5" t="s">
        <v>350</v>
      </c>
      <c r="T32" s="5" t="s">
        <v>350</v>
      </c>
      <c r="U32" s="5" t="s">
        <v>350</v>
      </c>
    </row>
    <row r="33" spans="1:22" x14ac:dyDescent="0.35">
      <c r="A33" s="51" t="s">
        <v>110</v>
      </c>
      <c r="B33" s="2" t="s">
        <v>3</v>
      </c>
      <c r="D33" s="5" t="s">
        <v>331</v>
      </c>
      <c r="E33" s="5" t="s">
        <v>331</v>
      </c>
      <c r="F33" s="5" t="s">
        <v>331</v>
      </c>
      <c r="G33" s="5" t="s">
        <v>330</v>
      </c>
      <c r="I33" s="5" t="s">
        <v>68</v>
      </c>
      <c r="J33" s="5" t="s">
        <v>68</v>
      </c>
      <c r="K33" s="5" t="s">
        <v>68</v>
      </c>
      <c r="L33" s="5" t="s">
        <v>68</v>
      </c>
      <c r="N33" s="5">
        <v>126</v>
      </c>
      <c r="O33" s="5">
        <v>74</v>
      </c>
      <c r="P33" s="5">
        <v>103</v>
      </c>
      <c r="Q33" s="5">
        <v>84</v>
      </c>
      <c r="R33" s="5">
        <v>82</v>
      </c>
      <c r="S33" s="5">
        <v>94</v>
      </c>
      <c r="T33" s="5">
        <v>86</v>
      </c>
      <c r="U33" s="5">
        <v>94</v>
      </c>
    </row>
    <row r="34" spans="1:22" x14ac:dyDescent="0.35">
      <c r="A34" s="51" t="s">
        <v>112</v>
      </c>
      <c r="B34" s="2" t="s">
        <v>3</v>
      </c>
      <c r="D34" s="57"/>
      <c r="E34" s="57"/>
      <c r="F34" s="57"/>
      <c r="G34" s="57"/>
      <c r="I34" s="5" t="s">
        <v>331</v>
      </c>
      <c r="J34" s="5" t="s">
        <v>331</v>
      </c>
      <c r="K34" s="5" t="s">
        <v>331</v>
      </c>
      <c r="L34" s="5" t="s">
        <v>331</v>
      </c>
      <c r="M34" s="8">
        <v>79</v>
      </c>
      <c r="N34" s="8">
        <v>84</v>
      </c>
      <c r="O34" s="8">
        <v>74</v>
      </c>
      <c r="P34" s="8">
        <v>94</v>
      </c>
      <c r="Q34" s="8">
        <v>84</v>
      </c>
      <c r="R34" s="8">
        <v>108</v>
      </c>
      <c r="S34" s="8">
        <v>91</v>
      </c>
      <c r="T34" s="8">
        <v>96</v>
      </c>
      <c r="U34" s="8">
        <v>91</v>
      </c>
    </row>
    <row r="35" spans="1:22" ht="0.75" customHeight="1" x14ac:dyDescent="0.35">
      <c r="A35" s="58"/>
      <c r="B35" s="4"/>
      <c r="D35" s="6"/>
      <c r="E35" s="6"/>
      <c r="F35" s="6"/>
      <c r="G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4"/>
    </row>
    <row r="36" spans="1:22" x14ac:dyDescent="0.35">
      <c r="A36" s="51" t="s">
        <v>28</v>
      </c>
      <c r="B36" s="2" t="s">
        <v>1</v>
      </c>
      <c r="D36" s="5" t="s">
        <v>330</v>
      </c>
      <c r="E36" s="5" t="s">
        <v>331</v>
      </c>
      <c r="F36" s="5" t="s">
        <v>330</v>
      </c>
      <c r="G36" s="5" t="s">
        <v>330</v>
      </c>
      <c r="I36" s="5" t="s">
        <v>330</v>
      </c>
      <c r="J36" s="5" t="s">
        <v>330</v>
      </c>
      <c r="K36" s="5" t="s">
        <v>330</v>
      </c>
      <c r="L36" s="5" t="s">
        <v>331</v>
      </c>
      <c r="M36" s="5">
        <v>89</v>
      </c>
      <c r="N36" s="5">
        <v>106</v>
      </c>
      <c r="O36" s="5">
        <v>76</v>
      </c>
      <c r="P36" s="5">
        <v>100</v>
      </c>
      <c r="Q36" s="5">
        <v>84</v>
      </c>
      <c r="R36" s="5">
        <v>97</v>
      </c>
      <c r="S36" s="5">
        <v>97</v>
      </c>
      <c r="T36" s="5">
        <v>98</v>
      </c>
      <c r="U36" s="5">
        <v>109</v>
      </c>
    </row>
    <row r="37" spans="1:22" x14ac:dyDescent="0.35">
      <c r="A37" s="1" t="s">
        <v>6</v>
      </c>
      <c r="B37" s="2" t="s">
        <v>1</v>
      </c>
      <c r="D37" s="5" t="s">
        <v>330</v>
      </c>
      <c r="E37" s="5" t="s">
        <v>331</v>
      </c>
      <c r="F37" s="5" t="s">
        <v>331</v>
      </c>
      <c r="G37" s="5" t="s">
        <v>331</v>
      </c>
      <c r="I37" s="5" t="s">
        <v>331</v>
      </c>
      <c r="J37" s="5" t="s">
        <v>331</v>
      </c>
      <c r="K37" s="5" t="s">
        <v>331</v>
      </c>
      <c r="L37" s="5" t="s">
        <v>331</v>
      </c>
      <c r="M37" s="5">
        <v>96</v>
      </c>
      <c r="N37" s="8">
        <v>98</v>
      </c>
      <c r="O37" s="8">
        <v>100</v>
      </c>
      <c r="P37" s="8">
        <v>91</v>
      </c>
      <c r="Q37" s="8">
        <v>94</v>
      </c>
      <c r="R37" s="8">
        <v>105</v>
      </c>
      <c r="S37" s="8">
        <v>123</v>
      </c>
      <c r="T37" s="8">
        <v>101</v>
      </c>
      <c r="U37" s="8">
        <v>115</v>
      </c>
      <c r="V37" s="9"/>
    </row>
    <row r="38" spans="1:22" x14ac:dyDescent="0.35">
      <c r="A38" s="51" t="s">
        <v>7</v>
      </c>
      <c r="B38" s="2" t="s">
        <v>1</v>
      </c>
      <c r="D38" s="5" t="s">
        <v>331</v>
      </c>
      <c r="E38" s="5" t="s">
        <v>330</v>
      </c>
      <c r="F38" s="5" t="s">
        <v>331</v>
      </c>
      <c r="G38" s="5" t="s">
        <v>331</v>
      </c>
      <c r="I38" s="5" t="s">
        <v>331</v>
      </c>
      <c r="J38" s="5" t="s">
        <v>331</v>
      </c>
      <c r="K38" s="5" t="s">
        <v>331</v>
      </c>
      <c r="L38" s="5" t="s">
        <v>331</v>
      </c>
      <c r="M38" s="8">
        <v>122</v>
      </c>
      <c r="N38" s="8">
        <v>116</v>
      </c>
      <c r="O38" s="8">
        <v>124</v>
      </c>
      <c r="P38" s="8">
        <v>120</v>
      </c>
      <c r="Q38" s="8">
        <v>105</v>
      </c>
      <c r="R38" s="8">
        <v>105</v>
      </c>
      <c r="S38" s="8">
        <v>103</v>
      </c>
      <c r="T38" s="8">
        <v>104</v>
      </c>
      <c r="U38" s="8">
        <v>103</v>
      </c>
    </row>
    <row r="39" spans="1:22" x14ac:dyDescent="0.35">
      <c r="A39" s="51" t="s">
        <v>15</v>
      </c>
      <c r="B39" s="2" t="s">
        <v>1</v>
      </c>
      <c r="D39" s="5" t="s">
        <v>331</v>
      </c>
      <c r="E39" s="5" t="s">
        <v>331</v>
      </c>
      <c r="F39" s="5" t="s">
        <v>331</v>
      </c>
      <c r="G39" s="5" t="s">
        <v>330</v>
      </c>
      <c r="I39" s="5" t="s">
        <v>331</v>
      </c>
      <c r="J39" s="5" t="s">
        <v>331</v>
      </c>
      <c r="K39" s="5" t="s">
        <v>331</v>
      </c>
      <c r="L39" s="5" t="s">
        <v>331</v>
      </c>
      <c r="M39" s="8">
        <v>106</v>
      </c>
      <c r="N39" s="8">
        <v>106</v>
      </c>
      <c r="O39" s="8">
        <v>110</v>
      </c>
      <c r="P39" s="8">
        <v>100</v>
      </c>
      <c r="Q39" s="8">
        <v>102</v>
      </c>
      <c r="R39" s="8">
        <v>99</v>
      </c>
      <c r="S39" s="8">
        <v>88</v>
      </c>
      <c r="T39" s="8">
        <v>96</v>
      </c>
      <c r="U39" s="8">
        <v>88</v>
      </c>
    </row>
    <row r="40" spans="1:22" x14ac:dyDescent="0.35">
      <c r="A40" s="51" t="s">
        <v>75</v>
      </c>
      <c r="B40" s="2" t="s">
        <v>1</v>
      </c>
      <c r="D40" s="5" t="s">
        <v>330</v>
      </c>
      <c r="E40" s="5" t="s">
        <v>330</v>
      </c>
      <c r="F40" s="5" t="s">
        <v>331</v>
      </c>
      <c r="G40" s="5" t="s">
        <v>331</v>
      </c>
      <c r="I40" s="5" t="s">
        <v>331</v>
      </c>
      <c r="J40" s="5" t="s">
        <v>331</v>
      </c>
      <c r="K40" s="5" t="s">
        <v>331</v>
      </c>
      <c r="L40" s="5" t="s">
        <v>331</v>
      </c>
      <c r="M40" s="5">
        <v>50</v>
      </c>
      <c r="N40" s="5">
        <v>63</v>
      </c>
      <c r="O40" s="5">
        <v>64</v>
      </c>
      <c r="P40" s="5">
        <v>55</v>
      </c>
      <c r="Q40" s="5">
        <v>55</v>
      </c>
      <c r="R40" s="5">
        <v>89</v>
      </c>
      <c r="S40" s="5">
        <v>100</v>
      </c>
      <c r="T40" s="5">
        <v>84</v>
      </c>
      <c r="U40" s="5">
        <v>100</v>
      </c>
    </row>
    <row r="41" spans="1:22" x14ac:dyDescent="0.35">
      <c r="A41" s="51" t="s">
        <v>16</v>
      </c>
      <c r="B41" s="2" t="s">
        <v>1</v>
      </c>
      <c r="D41" s="5" t="s">
        <v>331</v>
      </c>
      <c r="E41" s="5" t="s">
        <v>330</v>
      </c>
      <c r="F41" s="5" t="s">
        <v>331</v>
      </c>
      <c r="G41" s="5" t="s">
        <v>331</v>
      </c>
      <c r="I41" s="5" t="s">
        <v>331</v>
      </c>
      <c r="J41" s="5" t="s">
        <v>331</v>
      </c>
      <c r="K41" s="5" t="s">
        <v>331</v>
      </c>
      <c r="L41" s="5" t="s">
        <v>331</v>
      </c>
      <c r="M41" s="8">
        <v>103</v>
      </c>
      <c r="N41" s="8">
        <v>104</v>
      </c>
      <c r="O41" s="8">
        <v>106</v>
      </c>
      <c r="P41" s="8">
        <v>103</v>
      </c>
      <c r="Q41" s="8">
        <v>94</v>
      </c>
      <c r="R41" s="8">
        <v>102</v>
      </c>
      <c r="S41" s="8">
        <v>103</v>
      </c>
      <c r="T41" s="8">
        <v>98</v>
      </c>
      <c r="U41" s="8">
        <v>97</v>
      </c>
    </row>
    <row r="42" spans="1:22" x14ac:dyDescent="0.35">
      <c r="A42" s="51" t="s">
        <v>78</v>
      </c>
      <c r="B42" s="2" t="s">
        <v>1</v>
      </c>
      <c r="D42" s="5" t="s">
        <v>331</v>
      </c>
      <c r="E42" s="5" t="s">
        <v>331</v>
      </c>
      <c r="F42" s="5" t="s">
        <v>331</v>
      </c>
      <c r="G42" s="5" t="s">
        <v>331</v>
      </c>
      <c r="I42" s="5" t="s">
        <v>331</v>
      </c>
      <c r="J42" s="5" t="s">
        <v>331</v>
      </c>
      <c r="K42" s="5" t="s">
        <v>331</v>
      </c>
      <c r="L42" s="5" t="s">
        <v>331</v>
      </c>
      <c r="M42" s="5">
        <v>73</v>
      </c>
      <c r="N42" s="5">
        <v>75</v>
      </c>
      <c r="O42" s="5">
        <v>82</v>
      </c>
      <c r="P42" s="5">
        <v>71</v>
      </c>
      <c r="Q42" s="5">
        <v>86</v>
      </c>
      <c r="R42" s="5">
        <v>94</v>
      </c>
      <c r="S42" s="5">
        <v>97</v>
      </c>
      <c r="T42" s="5">
        <v>96</v>
      </c>
      <c r="U42" s="5">
        <v>100</v>
      </c>
    </row>
    <row r="43" spans="1:22" x14ac:dyDescent="0.35">
      <c r="A43" s="51" t="s">
        <v>19</v>
      </c>
      <c r="B43" s="2" t="s">
        <v>1</v>
      </c>
      <c r="D43" s="5" t="s">
        <v>331</v>
      </c>
      <c r="E43" s="5" t="s">
        <v>330</v>
      </c>
      <c r="F43" s="5" t="s">
        <v>331</v>
      </c>
      <c r="G43" s="5" t="s">
        <v>331</v>
      </c>
      <c r="I43" s="5" t="s">
        <v>331</v>
      </c>
      <c r="J43" s="5" t="s">
        <v>331</v>
      </c>
      <c r="K43" s="5" t="s">
        <v>331</v>
      </c>
      <c r="L43" s="5" t="s">
        <v>331</v>
      </c>
      <c r="M43" s="8">
        <v>93</v>
      </c>
      <c r="N43" s="8">
        <v>94</v>
      </c>
      <c r="O43" s="8">
        <v>92</v>
      </c>
      <c r="P43" s="8">
        <v>83</v>
      </c>
      <c r="Q43" s="8">
        <v>100</v>
      </c>
      <c r="R43" s="8">
        <v>79</v>
      </c>
      <c r="S43" s="8">
        <v>94</v>
      </c>
      <c r="T43" s="8">
        <v>84</v>
      </c>
      <c r="U43" s="8">
        <v>100</v>
      </c>
    </row>
    <row r="44" spans="1:22" x14ac:dyDescent="0.35">
      <c r="A44" s="51" t="s">
        <v>20</v>
      </c>
      <c r="B44" s="2" t="s">
        <v>1</v>
      </c>
      <c r="D44" s="5" t="s">
        <v>330</v>
      </c>
      <c r="E44" s="5" t="s">
        <v>330</v>
      </c>
      <c r="F44" s="5" t="s">
        <v>331</v>
      </c>
      <c r="G44" s="5" t="s">
        <v>331</v>
      </c>
      <c r="I44" s="5" t="s">
        <v>68</v>
      </c>
      <c r="J44" s="5" t="s">
        <v>68</v>
      </c>
      <c r="K44" s="5" t="s">
        <v>68</v>
      </c>
      <c r="L44" s="5" t="s">
        <v>68</v>
      </c>
      <c r="M44" s="8">
        <v>92</v>
      </c>
      <c r="N44" s="8">
        <v>104</v>
      </c>
      <c r="O44" s="8">
        <v>80</v>
      </c>
      <c r="P44" s="8">
        <v>85</v>
      </c>
      <c r="Q44" s="8">
        <v>108</v>
      </c>
      <c r="R44" s="8">
        <v>94</v>
      </c>
      <c r="S44" s="8">
        <v>79</v>
      </c>
      <c r="T44" s="8">
        <v>96</v>
      </c>
      <c r="U44" s="8">
        <v>100</v>
      </c>
    </row>
    <row r="45" spans="1:22" x14ac:dyDescent="0.35">
      <c r="A45" s="51" t="s">
        <v>21</v>
      </c>
      <c r="B45" s="2" t="s">
        <v>1</v>
      </c>
      <c r="D45" s="5" t="s">
        <v>331</v>
      </c>
      <c r="E45" s="5" t="s">
        <v>330</v>
      </c>
      <c r="F45" s="5" t="s">
        <v>330</v>
      </c>
      <c r="G45" s="5" t="s">
        <v>331</v>
      </c>
      <c r="I45" s="5" t="s">
        <v>68</v>
      </c>
      <c r="J45" s="5" t="s">
        <v>68</v>
      </c>
      <c r="K45" s="5" t="s">
        <v>68</v>
      </c>
      <c r="L45" s="5" t="s">
        <v>68</v>
      </c>
      <c r="M45" s="8">
        <v>92</v>
      </c>
      <c r="N45" s="8">
        <v>104</v>
      </c>
      <c r="O45" s="8">
        <v>80</v>
      </c>
      <c r="P45" s="8">
        <v>85</v>
      </c>
      <c r="Q45" s="8">
        <v>108</v>
      </c>
      <c r="R45" s="8">
        <v>94</v>
      </c>
      <c r="S45" s="8">
        <v>79</v>
      </c>
      <c r="T45" s="8">
        <v>96</v>
      </c>
      <c r="U45" s="8">
        <v>100</v>
      </c>
    </row>
    <row r="46" spans="1:22" x14ac:dyDescent="0.35">
      <c r="A46" s="51" t="s">
        <v>32</v>
      </c>
      <c r="B46" s="2" t="s">
        <v>1</v>
      </c>
      <c r="D46" s="5" t="s">
        <v>331</v>
      </c>
      <c r="E46" s="5" t="s">
        <v>330</v>
      </c>
      <c r="F46" s="5" t="s">
        <v>331</v>
      </c>
      <c r="G46" s="5" t="s">
        <v>330</v>
      </c>
      <c r="I46" s="5" t="s">
        <v>331</v>
      </c>
      <c r="J46" s="5" t="s">
        <v>331</v>
      </c>
      <c r="K46" s="5" t="s">
        <v>331</v>
      </c>
      <c r="L46" s="5" t="s">
        <v>331</v>
      </c>
      <c r="M46" s="8">
        <v>137</v>
      </c>
      <c r="N46" s="8">
        <v>139</v>
      </c>
      <c r="O46" s="8">
        <v>128</v>
      </c>
      <c r="P46" s="8">
        <v>112</v>
      </c>
      <c r="Q46" s="8">
        <v>137</v>
      </c>
      <c r="R46" s="8">
        <v>136</v>
      </c>
      <c r="S46" s="8">
        <v>115</v>
      </c>
      <c r="T46" s="8">
        <v>132</v>
      </c>
      <c r="U46" s="8">
        <v>118</v>
      </c>
    </row>
    <row r="47" spans="1:22" x14ac:dyDescent="0.35">
      <c r="A47" s="51" t="s">
        <v>83</v>
      </c>
      <c r="B47" s="2" t="s">
        <v>1</v>
      </c>
      <c r="D47" s="5" t="s">
        <v>330</v>
      </c>
      <c r="E47" s="5" t="s">
        <v>331</v>
      </c>
      <c r="F47" s="5" t="s">
        <v>330</v>
      </c>
      <c r="G47" s="5" t="s">
        <v>330</v>
      </c>
      <c r="I47" s="5" t="s">
        <v>331</v>
      </c>
      <c r="J47" s="5" t="s">
        <v>331</v>
      </c>
      <c r="K47" s="5" t="s">
        <v>331</v>
      </c>
      <c r="L47" s="5" t="s">
        <v>330</v>
      </c>
      <c r="M47" s="8">
        <v>104</v>
      </c>
      <c r="N47" s="8">
        <v>110</v>
      </c>
      <c r="O47" s="8">
        <v>106</v>
      </c>
      <c r="P47" s="8">
        <v>91</v>
      </c>
      <c r="Q47" s="8">
        <v>102</v>
      </c>
      <c r="R47" s="8">
        <v>114</v>
      </c>
      <c r="S47" s="8">
        <v>109</v>
      </c>
      <c r="T47" s="8">
        <v>119</v>
      </c>
      <c r="U47" s="8">
        <v>109</v>
      </c>
    </row>
    <row r="48" spans="1:22" x14ac:dyDescent="0.35">
      <c r="A48" s="51" t="s">
        <v>34</v>
      </c>
      <c r="B48" s="2" t="s">
        <v>1</v>
      </c>
      <c r="D48" s="5" t="s">
        <v>331</v>
      </c>
      <c r="E48" s="5" t="s">
        <v>330</v>
      </c>
      <c r="F48" s="5" t="s">
        <v>331</v>
      </c>
      <c r="G48" s="5" t="s">
        <v>331</v>
      </c>
      <c r="I48" s="5" t="s">
        <v>331</v>
      </c>
      <c r="J48" s="5" t="s">
        <v>331</v>
      </c>
      <c r="K48" s="5" t="s">
        <v>331</v>
      </c>
      <c r="L48" s="5" t="s">
        <v>331</v>
      </c>
      <c r="M48" s="8">
        <v>99</v>
      </c>
      <c r="N48" s="8">
        <v>86</v>
      </c>
      <c r="O48" s="8">
        <v>110</v>
      </c>
      <c r="P48" s="8">
        <v>85</v>
      </c>
      <c r="Q48" s="8">
        <v>117</v>
      </c>
      <c r="R48" s="8">
        <v>114</v>
      </c>
      <c r="S48" s="8">
        <v>126</v>
      </c>
      <c r="T48" s="8">
        <v>107</v>
      </c>
      <c r="U48" s="8">
        <v>121</v>
      </c>
    </row>
    <row r="49" spans="1:21" x14ac:dyDescent="0.35">
      <c r="A49" s="51" t="s">
        <v>88</v>
      </c>
      <c r="B49" s="2" t="s">
        <v>1</v>
      </c>
      <c r="D49" s="5" t="s">
        <v>331</v>
      </c>
      <c r="E49" s="7" t="s">
        <v>330</v>
      </c>
      <c r="F49" s="7" t="s">
        <v>330</v>
      </c>
      <c r="G49" s="7" t="s">
        <v>331</v>
      </c>
      <c r="I49" s="5" t="s">
        <v>68</v>
      </c>
      <c r="J49" s="5" t="s">
        <v>331</v>
      </c>
      <c r="K49" s="5" t="s">
        <v>331</v>
      </c>
      <c r="L49" s="5" t="s">
        <v>331</v>
      </c>
      <c r="M49" s="8">
        <v>78</v>
      </c>
      <c r="N49" s="8">
        <v>88</v>
      </c>
      <c r="O49" s="8">
        <v>88</v>
      </c>
      <c r="P49" s="8">
        <v>83</v>
      </c>
      <c r="Q49" s="8">
        <v>66</v>
      </c>
      <c r="R49" s="8">
        <v>94</v>
      </c>
      <c r="S49" s="8">
        <v>100</v>
      </c>
      <c r="T49" s="8">
        <v>94</v>
      </c>
      <c r="U49" s="8">
        <v>97</v>
      </c>
    </row>
    <row r="50" spans="1:21" x14ac:dyDescent="0.35">
      <c r="A50" s="51" t="s">
        <v>89</v>
      </c>
      <c r="B50" s="2" t="s">
        <v>1</v>
      </c>
      <c r="D50" s="5" t="s">
        <v>330</v>
      </c>
      <c r="E50" s="8" t="s">
        <v>330</v>
      </c>
      <c r="F50" s="5" t="s">
        <v>330</v>
      </c>
      <c r="G50" s="5" t="s">
        <v>331</v>
      </c>
      <c r="I50" s="5" t="s">
        <v>68</v>
      </c>
      <c r="J50" s="5" t="s">
        <v>68</v>
      </c>
      <c r="K50" s="5" t="s">
        <v>68</v>
      </c>
      <c r="L50" s="5" t="s">
        <v>68</v>
      </c>
      <c r="M50" s="8">
        <v>78</v>
      </c>
      <c r="N50" s="8">
        <v>88</v>
      </c>
      <c r="O50" s="8">
        <v>88</v>
      </c>
      <c r="P50" s="8">
        <v>83</v>
      </c>
      <c r="Q50" s="8">
        <v>66</v>
      </c>
      <c r="R50" s="8">
        <v>94</v>
      </c>
      <c r="S50" s="8">
        <v>100</v>
      </c>
      <c r="T50" s="8">
        <v>94</v>
      </c>
      <c r="U50" s="8">
        <v>97</v>
      </c>
    </row>
    <row r="51" spans="1:21" x14ac:dyDescent="0.35">
      <c r="A51" s="51" t="s">
        <v>36</v>
      </c>
      <c r="B51" s="2" t="s">
        <v>1</v>
      </c>
      <c r="D51" s="5" t="s">
        <v>331</v>
      </c>
      <c r="E51" s="5" t="s">
        <v>331</v>
      </c>
      <c r="F51" s="5" t="s">
        <v>330</v>
      </c>
      <c r="G51" s="5" t="s">
        <v>331</v>
      </c>
      <c r="I51" s="5" t="s">
        <v>68</v>
      </c>
      <c r="J51" s="5" t="s">
        <v>331</v>
      </c>
      <c r="K51" s="5" t="s">
        <v>331</v>
      </c>
      <c r="L51" s="5" t="s">
        <v>331</v>
      </c>
      <c r="M51" s="8">
        <v>61</v>
      </c>
      <c r="N51" s="8">
        <v>61</v>
      </c>
      <c r="O51" s="8">
        <v>78</v>
      </c>
      <c r="P51" s="8">
        <v>63</v>
      </c>
      <c r="Q51" s="8">
        <v>72</v>
      </c>
      <c r="R51" s="8">
        <v>70</v>
      </c>
      <c r="S51" s="8">
        <v>71</v>
      </c>
      <c r="T51" s="8">
        <v>74</v>
      </c>
      <c r="U51" s="8">
        <v>60</v>
      </c>
    </row>
    <row r="52" spans="1:21" x14ac:dyDescent="0.35">
      <c r="A52" s="51" t="s">
        <v>24</v>
      </c>
      <c r="B52" s="2" t="s">
        <v>1</v>
      </c>
      <c r="D52" s="5" t="s">
        <v>331</v>
      </c>
      <c r="E52" s="5" t="s">
        <v>331</v>
      </c>
      <c r="F52" s="5" t="s">
        <v>331</v>
      </c>
      <c r="G52" s="5" t="s">
        <v>331</v>
      </c>
      <c r="I52" s="5" t="s">
        <v>68</v>
      </c>
      <c r="J52" s="5" t="s">
        <v>331</v>
      </c>
      <c r="K52" s="5" t="s">
        <v>330</v>
      </c>
      <c r="L52" s="5" t="s">
        <v>331</v>
      </c>
      <c r="M52" s="8">
        <v>87</v>
      </c>
      <c r="N52" s="8">
        <v>92</v>
      </c>
      <c r="O52" s="8">
        <v>85</v>
      </c>
      <c r="P52" s="8">
        <v>97</v>
      </c>
      <c r="Q52" s="8">
        <v>88</v>
      </c>
      <c r="R52" s="8">
        <v>94</v>
      </c>
      <c r="S52" s="8">
        <v>109</v>
      </c>
      <c r="T52" s="8">
        <v>96</v>
      </c>
      <c r="U52" s="8">
        <v>112</v>
      </c>
    </row>
    <row r="53" spans="1:21" ht="14.25" customHeight="1" x14ac:dyDescent="0.35">
      <c r="A53" s="51" t="s">
        <v>95</v>
      </c>
      <c r="B53" s="2" t="s">
        <v>1</v>
      </c>
      <c r="D53" s="5" t="s">
        <v>330</v>
      </c>
      <c r="E53" s="5" t="s">
        <v>331</v>
      </c>
      <c r="F53" s="5" t="s">
        <v>331</v>
      </c>
      <c r="G53" s="5" t="s">
        <v>331</v>
      </c>
      <c r="I53" s="5" t="s">
        <v>68</v>
      </c>
      <c r="J53" s="5" t="s">
        <v>331</v>
      </c>
      <c r="K53" s="5" t="s">
        <v>331</v>
      </c>
      <c r="L53" s="5" t="s">
        <v>331</v>
      </c>
      <c r="M53" s="8">
        <v>60</v>
      </c>
      <c r="N53" s="8">
        <v>94</v>
      </c>
      <c r="O53" s="8">
        <v>64</v>
      </c>
      <c r="P53" s="8">
        <v>52</v>
      </c>
      <c r="Q53" s="8">
        <v>50</v>
      </c>
      <c r="R53" s="8">
        <v>72</v>
      </c>
      <c r="S53" s="8">
        <v>74</v>
      </c>
      <c r="T53" s="8">
        <v>74</v>
      </c>
      <c r="U53" s="8">
        <v>72</v>
      </c>
    </row>
    <row r="54" spans="1:21" x14ac:dyDescent="0.35">
      <c r="A54" s="51" t="s">
        <v>96</v>
      </c>
      <c r="B54" s="2" t="s">
        <v>1</v>
      </c>
      <c r="D54" s="5" t="s">
        <v>330</v>
      </c>
      <c r="E54" s="5" t="s">
        <v>330</v>
      </c>
      <c r="F54" s="5" t="s">
        <v>330</v>
      </c>
      <c r="G54" s="5" t="s">
        <v>331</v>
      </c>
      <c r="I54" s="5" t="s">
        <v>68</v>
      </c>
      <c r="J54" s="5" t="s">
        <v>68</v>
      </c>
      <c r="K54" s="5" t="s">
        <v>68</v>
      </c>
      <c r="L54" s="5" t="s">
        <v>68</v>
      </c>
      <c r="M54" s="8">
        <v>60</v>
      </c>
      <c r="N54" s="8">
        <v>94</v>
      </c>
      <c r="O54" s="8">
        <v>64</v>
      </c>
      <c r="P54" s="8">
        <v>52</v>
      </c>
      <c r="Q54" s="8">
        <v>50</v>
      </c>
      <c r="R54" s="8">
        <v>72</v>
      </c>
      <c r="S54" s="8">
        <v>74</v>
      </c>
      <c r="T54" s="8">
        <v>74</v>
      </c>
      <c r="U54" s="8">
        <v>72</v>
      </c>
    </row>
    <row r="55" spans="1:21" x14ac:dyDescent="0.35">
      <c r="A55" s="51" t="s">
        <v>99</v>
      </c>
      <c r="B55" s="2" t="s">
        <v>1</v>
      </c>
      <c r="D55" s="5" t="s">
        <v>330</v>
      </c>
      <c r="E55" s="5" t="s">
        <v>330</v>
      </c>
      <c r="F55" s="5" t="s">
        <v>331</v>
      </c>
      <c r="G55" s="5" t="s">
        <v>330</v>
      </c>
      <c r="I55" s="5" t="s">
        <v>68</v>
      </c>
      <c r="J55" s="5" t="s">
        <v>331</v>
      </c>
      <c r="K55" s="5" t="s">
        <v>331</v>
      </c>
      <c r="L55" s="5" t="s">
        <v>331</v>
      </c>
      <c r="N55" s="5">
        <v>126</v>
      </c>
      <c r="O55" s="5">
        <v>107</v>
      </c>
      <c r="P55" s="5">
        <v>103</v>
      </c>
      <c r="Q55" s="5">
        <v>103</v>
      </c>
      <c r="R55" s="5">
        <v>138</v>
      </c>
      <c r="S55" s="5">
        <v>129</v>
      </c>
      <c r="T55" s="5">
        <v>123</v>
      </c>
      <c r="U55" s="5">
        <v>121</v>
      </c>
    </row>
    <row r="56" spans="1:21" x14ac:dyDescent="0.35">
      <c r="A56" s="51" t="s">
        <v>62</v>
      </c>
      <c r="B56" s="2" t="s">
        <v>1</v>
      </c>
      <c r="D56" s="5" t="s">
        <v>330</v>
      </c>
      <c r="E56" s="5" t="s">
        <v>331</v>
      </c>
      <c r="F56" s="5" t="s">
        <v>331</v>
      </c>
      <c r="G56" s="5" t="s">
        <v>331</v>
      </c>
      <c r="I56" s="5" t="s">
        <v>68</v>
      </c>
      <c r="J56" s="5" t="s">
        <v>331</v>
      </c>
      <c r="K56" s="5" t="s">
        <v>331</v>
      </c>
      <c r="L56" s="5" t="s">
        <v>330</v>
      </c>
      <c r="M56" s="5">
        <v>97</v>
      </c>
      <c r="N56" s="5">
        <v>112</v>
      </c>
      <c r="O56" s="5">
        <v>82</v>
      </c>
      <c r="P56" s="5">
        <v>85</v>
      </c>
      <c r="Q56" s="5">
        <v>97</v>
      </c>
      <c r="R56" s="5">
        <v>124</v>
      </c>
      <c r="S56" s="5">
        <v>118</v>
      </c>
      <c r="T56" s="5">
        <v>123</v>
      </c>
      <c r="U56" s="5">
        <v>118</v>
      </c>
    </row>
    <row r="57" spans="1:21" x14ac:dyDescent="0.35">
      <c r="A57" s="51" t="s">
        <v>102</v>
      </c>
      <c r="B57" s="2" t="s">
        <v>1</v>
      </c>
      <c r="D57" s="5" t="s">
        <v>331</v>
      </c>
      <c r="E57" s="5" t="s">
        <v>330</v>
      </c>
      <c r="F57" s="5" t="s">
        <v>331</v>
      </c>
      <c r="G57" s="5" t="s">
        <v>331</v>
      </c>
      <c r="I57" s="5" t="s">
        <v>331</v>
      </c>
      <c r="J57" s="5" t="s">
        <v>331</v>
      </c>
      <c r="K57" s="5" t="s">
        <v>331</v>
      </c>
      <c r="L57" s="5" t="s">
        <v>330</v>
      </c>
      <c r="M57" s="62">
        <v>76</v>
      </c>
      <c r="N57" s="62">
        <v>84</v>
      </c>
      <c r="O57" s="62">
        <v>76</v>
      </c>
      <c r="P57" s="62">
        <v>74</v>
      </c>
      <c r="Q57" s="62">
        <v>89</v>
      </c>
      <c r="R57" s="8">
        <v>94</v>
      </c>
      <c r="S57" s="8">
        <v>103</v>
      </c>
      <c r="T57" s="8">
        <v>89</v>
      </c>
      <c r="U57" s="8">
        <v>97</v>
      </c>
    </row>
    <row r="58" spans="1:21" x14ac:dyDescent="0.35">
      <c r="A58" s="51" t="s">
        <v>64</v>
      </c>
      <c r="B58" s="2" t="s">
        <v>1</v>
      </c>
      <c r="D58" s="5" t="s">
        <v>331</v>
      </c>
      <c r="E58" s="5" t="s">
        <v>331</v>
      </c>
      <c r="F58" s="5" t="s">
        <v>331</v>
      </c>
      <c r="G58" s="5" t="s">
        <v>331</v>
      </c>
      <c r="I58" s="5" t="s">
        <v>68</v>
      </c>
      <c r="J58" s="5" t="s">
        <v>331</v>
      </c>
      <c r="K58" s="5" t="s">
        <v>331</v>
      </c>
      <c r="L58" s="5" t="s">
        <v>331</v>
      </c>
      <c r="M58" s="8">
        <v>73</v>
      </c>
      <c r="N58" s="8">
        <v>84</v>
      </c>
      <c r="O58" s="8">
        <v>68</v>
      </c>
      <c r="P58" s="8">
        <v>86</v>
      </c>
      <c r="Q58" s="8">
        <v>69</v>
      </c>
      <c r="R58" s="8">
        <v>111</v>
      </c>
      <c r="S58" s="8">
        <v>91</v>
      </c>
      <c r="T58" s="8">
        <v>107</v>
      </c>
      <c r="U58" s="8">
        <v>103</v>
      </c>
    </row>
    <row r="59" spans="1:21" x14ac:dyDescent="0.35">
      <c r="A59" s="51" t="s">
        <v>105</v>
      </c>
      <c r="B59" s="2" t="s">
        <v>1</v>
      </c>
      <c r="D59" s="5" t="s">
        <v>331</v>
      </c>
      <c r="E59" s="5" t="s">
        <v>331</v>
      </c>
      <c r="F59" s="5" t="s">
        <v>331</v>
      </c>
      <c r="G59" s="5" t="s">
        <v>331</v>
      </c>
      <c r="I59" s="5" t="s">
        <v>331</v>
      </c>
      <c r="J59" s="5" t="s">
        <v>331</v>
      </c>
      <c r="K59" s="5" t="s">
        <v>331</v>
      </c>
      <c r="L59" s="5" t="s">
        <v>331</v>
      </c>
      <c r="M59" s="8">
        <v>100</v>
      </c>
      <c r="N59" s="8">
        <v>122</v>
      </c>
      <c r="O59" s="8">
        <v>80</v>
      </c>
      <c r="P59" s="8">
        <v>109</v>
      </c>
      <c r="Q59" s="8">
        <v>89</v>
      </c>
      <c r="R59" s="8">
        <v>94</v>
      </c>
      <c r="S59" s="8">
        <v>94</v>
      </c>
      <c r="T59" s="8">
        <v>104</v>
      </c>
      <c r="U59" s="8">
        <v>94</v>
      </c>
    </row>
    <row r="60" spans="1:21" x14ac:dyDescent="0.35">
      <c r="A60" s="51" t="s">
        <v>27</v>
      </c>
      <c r="B60" s="2" t="s">
        <v>1</v>
      </c>
      <c r="D60" s="5" t="s">
        <v>330</v>
      </c>
      <c r="E60" s="5" t="s">
        <v>330</v>
      </c>
      <c r="F60" s="5" t="s">
        <v>331</v>
      </c>
      <c r="G60" s="5" t="s">
        <v>330</v>
      </c>
      <c r="I60" s="5" t="s">
        <v>331</v>
      </c>
      <c r="J60" s="5" t="s">
        <v>331</v>
      </c>
      <c r="K60" s="5" t="s">
        <v>331</v>
      </c>
      <c r="L60" s="5" t="s">
        <v>331</v>
      </c>
      <c r="M60" s="8">
        <v>93</v>
      </c>
      <c r="N60" s="8">
        <v>84</v>
      </c>
      <c r="O60" s="8">
        <v>98</v>
      </c>
      <c r="P60" s="8">
        <v>88</v>
      </c>
      <c r="Q60" s="8">
        <v>89</v>
      </c>
      <c r="R60" s="8">
        <v>94</v>
      </c>
      <c r="S60" s="53">
        <v>100</v>
      </c>
      <c r="T60" s="53">
        <v>101</v>
      </c>
      <c r="U60" s="53">
        <v>100</v>
      </c>
    </row>
    <row r="61" spans="1:21" x14ac:dyDescent="0.35">
      <c r="A61" s="51" t="s">
        <v>109</v>
      </c>
      <c r="B61" s="2" t="s">
        <v>1</v>
      </c>
      <c r="D61" s="5" t="s">
        <v>331</v>
      </c>
      <c r="E61" s="5" t="s">
        <v>331</v>
      </c>
      <c r="F61" s="5" t="s">
        <v>331</v>
      </c>
      <c r="G61" s="5" t="s">
        <v>331</v>
      </c>
      <c r="I61" s="5" t="s">
        <v>331</v>
      </c>
      <c r="J61" s="5" t="s">
        <v>330</v>
      </c>
      <c r="K61" s="5" t="s">
        <v>331</v>
      </c>
      <c r="L61" s="5" t="s">
        <v>331</v>
      </c>
      <c r="N61" s="5">
        <v>126</v>
      </c>
      <c r="O61" s="5">
        <v>74</v>
      </c>
      <c r="P61" s="5">
        <v>103</v>
      </c>
      <c r="Q61" s="5">
        <v>84</v>
      </c>
      <c r="R61" s="5">
        <v>82</v>
      </c>
      <c r="S61" s="5">
        <v>94</v>
      </c>
      <c r="T61" s="5">
        <v>86</v>
      </c>
      <c r="U61" s="5">
        <v>94</v>
      </c>
    </row>
    <row r="62" spans="1:21" x14ac:dyDescent="0.35">
      <c r="A62" s="51" t="s">
        <v>111</v>
      </c>
      <c r="B62" s="2" t="s">
        <v>1</v>
      </c>
      <c r="D62" s="5" t="s">
        <v>331</v>
      </c>
      <c r="E62" s="5" t="s">
        <v>330</v>
      </c>
      <c r="F62" s="5" t="s">
        <v>331</v>
      </c>
      <c r="G62" s="5" t="s">
        <v>331</v>
      </c>
      <c r="I62" s="5" t="s">
        <v>68</v>
      </c>
      <c r="J62" s="5" t="s">
        <v>68</v>
      </c>
      <c r="K62" s="5" t="s">
        <v>68</v>
      </c>
      <c r="L62" s="5" t="s">
        <v>68</v>
      </c>
      <c r="M62" s="8">
        <v>79</v>
      </c>
      <c r="N62" s="8">
        <v>84</v>
      </c>
      <c r="O62" s="8">
        <v>74</v>
      </c>
      <c r="P62" s="8">
        <v>94</v>
      </c>
      <c r="Q62" s="8">
        <v>84</v>
      </c>
      <c r="R62" s="8">
        <v>108</v>
      </c>
      <c r="S62" s="8">
        <v>91</v>
      </c>
      <c r="T62" s="8">
        <v>96</v>
      </c>
      <c r="U62" s="8">
        <v>91</v>
      </c>
    </row>
    <row r="63" spans="1:21" x14ac:dyDescent="0.35">
      <c r="A63" s="51" t="s">
        <v>11</v>
      </c>
      <c r="B63" s="2" t="s">
        <v>1</v>
      </c>
      <c r="D63" s="57" t="s">
        <v>330</v>
      </c>
      <c r="E63" s="57" t="s">
        <v>330</v>
      </c>
      <c r="F63" s="57" t="s">
        <v>331</v>
      </c>
      <c r="G63" s="57" t="s">
        <v>330</v>
      </c>
      <c r="I63" s="5" t="s">
        <v>68</v>
      </c>
      <c r="J63" s="5" t="s">
        <v>330</v>
      </c>
      <c r="K63" s="5" t="s">
        <v>331</v>
      </c>
      <c r="L63" s="5" t="s">
        <v>330</v>
      </c>
      <c r="M63" s="8">
        <v>100</v>
      </c>
      <c r="N63" s="8">
        <v>89</v>
      </c>
      <c r="O63" s="8">
        <v>105</v>
      </c>
      <c r="P63" s="8">
        <v>94</v>
      </c>
      <c r="Q63" s="8">
        <v>108</v>
      </c>
      <c r="R63" s="8" t="s">
        <v>451</v>
      </c>
      <c r="S63" s="8" t="s">
        <v>451</v>
      </c>
      <c r="T63" s="8" t="s">
        <v>451</v>
      </c>
      <c r="U63" s="8" t="s">
        <v>451</v>
      </c>
    </row>
    <row r="64" spans="1:21" x14ac:dyDescent="0.35">
      <c r="A64" s="51" t="s">
        <v>74</v>
      </c>
      <c r="B64" s="2" t="s">
        <v>68</v>
      </c>
      <c r="D64" s="5" t="s">
        <v>68</v>
      </c>
      <c r="E64" s="5" t="s">
        <v>68</v>
      </c>
      <c r="F64" s="5" t="s">
        <v>68</v>
      </c>
      <c r="G64" s="5" t="s">
        <v>68</v>
      </c>
      <c r="I64" s="5" t="s">
        <v>330</v>
      </c>
      <c r="J64" s="5" t="s">
        <v>330</v>
      </c>
      <c r="K64" s="5" t="s">
        <v>331</v>
      </c>
      <c r="L64" s="5" t="s">
        <v>330</v>
      </c>
      <c r="M64" s="5">
        <v>115</v>
      </c>
      <c r="N64" s="5">
        <v>124</v>
      </c>
      <c r="O64" s="5">
        <v>106</v>
      </c>
      <c r="P64" s="5">
        <v>114</v>
      </c>
      <c r="Q64" s="5">
        <v>102</v>
      </c>
      <c r="R64" s="5">
        <v>114</v>
      </c>
      <c r="S64" s="5">
        <v>106</v>
      </c>
      <c r="T64" s="5">
        <v>119</v>
      </c>
      <c r="U64" s="5">
        <v>106</v>
      </c>
    </row>
    <row r="65" spans="1:22" s="112" customFormat="1" x14ac:dyDescent="0.35">
      <c r="A65" s="165" t="s">
        <v>85</v>
      </c>
      <c r="B65" s="166" t="s">
        <v>3</v>
      </c>
      <c r="C65" s="166"/>
      <c r="D65" s="167"/>
      <c r="E65" s="167"/>
      <c r="F65" s="167"/>
      <c r="G65" s="167"/>
      <c r="H65" s="167"/>
      <c r="I65" s="167"/>
      <c r="J65" s="167"/>
      <c r="K65" s="167"/>
      <c r="L65" s="167"/>
      <c r="M65" s="167">
        <v>86</v>
      </c>
      <c r="N65" s="167">
        <v>92</v>
      </c>
      <c r="O65" s="167">
        <v>94</v>
      </c>
      <c r="P65" s="167">
        <v>77</v>
      </c>
      <c r="Q65" s="167">
        <v>89</v>
      </c>
      <c r="R65" s="167">
        <v>94</v>
      </c>
      <c r="S65" s="167">
        <v>91</v>
      </c>
      <c r="T65" s="167">
        <v>91</v>
      </c>
      <c r="U65" s="167">
        <v>91</v>
      </c>
      <c r="V65" s="166" t="s">
        <v>117</v>
      </c>
    </row>
    <row r="66" spans="1:22" x14ac:dyDescent="0.35">
      <c r="A66" s="55" t="s">
        <v>90</v>
      </c>
      <c r="B66" s="56" t="s">
        <v>3</v>
      </c>
      <c r="D66" s="57"/>
      <c r="E66" s="57"/>
      <c r="F66" s="57"/>
      <c r="G66" s="57"/>
      <c r="I66" s="57"/>
      <c r="J66" s="57"/>
      <c r="K66" s="57"/>
      <c r="L66" s="57"/>
      <c r="M66" s="57">
        <v>71</v>
      </c>
      <c r="N66" s="57">
        <v>81</v>
      </c>
      <c r="O66" s="57">
        <v>84</v>
      </c>
      <c r="P66" s="57">
        <v>74</v>
      </c>
      <c r="Q66" s="57">
        <v>64</v>
      </c>
      <c r="R66" s="57">
        <v>97</v>
      </c>
      <c r="S66" s="57">
        <v>109</v>
      </c>
      <c r="T66" s="57">
        <v>93</v>
      </c>
      <c r="U66" s="57">
        <v>109</v>
      </c>
      <c r="V66" s="56" t="s">
        <v>117</v>
      </c>
    </row>
    <row r="67" spans="1:22" x14ac:dyDescent="0.35">
      <c r="A67" s="55" t="s">
        <v>93</v>
      </c>
      <c r="B67" s="56" t="s">
        <v>3</v>
      </c>
      <c r="D67" s="57"/>
      <c r="E67" s="57"/>
      <c r="F67" s="57"/>
      <c r="G67" s="57"/>
      <c r="I67" s="57"/>
      <c r="J67" s="57"/>
      <c r="K67" s="57"/>
      <c r="L67" s="57"/>
      <c r="M67" s="57"/>
      <c r="N67" s="57">
        <v>100</v>
      </c>
      <c r="O67" s="57">
        <v>98</v>
      </c>
      <c r="P67" s="57">
        <v>97</v>
      </c>
      <c r="Q67" s="57">
        <v>97</v>
      </c>
      <c r="R67" s="57">
        <v>94</v>
      </c>
      <c r="S67" s="57">
        <v>109</v>
      </c>
      <c r="T67" s="57">
        <v>96</v>
      </c>
      <c r="U67" s="57">
        <v>112</v>
      </c>
      <c r="V67" s="56" t="s">
        <v>571</v>
      </c>
    </row>
    <row r="68" spans="1:22" x14ac:dyDescent="0.35">
      <c r="A68" s="55" t="s">
        <v>104</v>
      </c>
      <c r="B68" s="56" t="s">
        <v>3</v>
      </c>
      <c r="D68" s="57"/>
      <c r="E68" s="57"/>
      <c r="F68" s="57"/>
      <c r="G68" s="57"/>
      <c r="I68" s="57"/>
      <c r="J68" s="57"/>
      <c r="K68" s="57"/>
      <c r="L68" s="57"/>
      <c r="M68" s="57">
        <v>90</v>
      </c>
      <c r="N68" s="57">
        <v>94</v>
      </c>
      <c r="O68" s="57">
        <v>70</v>
      </c>
      <c r="P68" s="57">
        <v>112</v>
      </c>
      <c r="Q68" s="57">
        <v>100</v>
      </c>
      <c r="R68" s="57">
        <v>111</v>
      </c>
      <c r="S68" s="57">
        <v>91</v>
      </c>
      <c r="T68" s="57">
        <v>89</v>
      </c>
      <c r="U68" s="57">
        <v>85</v>
      </c>
      <c r="V68" s="56" t="s">
        <v>120</v>
      </c>
    </row>
    <row r="69" spans="1:22" x14ac:dyDescent="0.35">
      <c r="A69" s="55" t="s">
        <v>71</v>
      </c>
      <c r="B69" s="56" t="s">
        <v>1</v>
      </c>
      <c r="D69" s="57"/>
      <c r="E69" s="57"/>
      <c r="F69" s="57"/>
      <c r="G69" s="57"/>
      <c r="I69" s="57"/>
      <c r="J69" s="57"/>
      <c r="K69" s="57"/>
      <c r="L69" s="57"/>
      <c r="M69" s="59">
        <v>92</v>
      </c>
      <c r="N69" s="59">
        <v>98</v>
      </c>
      <c r="O69" s="59">
        <v>92</v>
      </c>
      <c r="P69" s="59">
        <v>86</v>
      </c>
      <c r="Q69" s="59">
        <v>100</v>
      </c>
      <c r="R69" s="59">
        <v>89</v>
      </c>
      <c r="S69" s="59">
        <v>82</v>
      </c>
      <c r="T69" s="59">
        <v>98</v>
      </c>
      <c r="U69" s="59">
        <v>97</v>
      </c>
      <c r="V69" s="56" t="s">
        <v>117</v>
      </c>
    </row>
    <row r="70" spans="1:22" x14ac:dyDescent="0.35">
      <c r="A70" s="55" t="s">
        <v>72</v>
      </c>
      <c r="B70" s="56" t="s">
        <v>1</v>
      </c>
      <c r="D70" s="57"/>
      <c r="E70" s="57"/>
      <c r="F70" s="57"/>
      <c r="G70" s="57"/>
      <c r="I70" s="57"/>
      <c r="J70" s="57"/>
      <c r="K70" s="57"/>
      <c r="L70" s="57"/>
      <c r="M70" s="59">
        <v>92</v>
      </c>
      <c r="N70" s="59">
        <v>98</v>
      </c>
      <c r="O70" s="59">
        <v>92</v>
      </c>
      <c r="P70" s="59">
        <v>86</v>
      </c>
      <c r="Q70" s="59">
        <v>100</v>
      </c>
      <c r="R70" s="59">
        <v>89</v>
      </c>
      <c r="S70" s="59">
        <v>82</v>
      </c>
      <c r="T70" s="59">
        <v>98</v>
      </c>
      <c r="U70" s="59">
        <v>97</v>
      </c>
      <c r="V70" s="56" t="s">
        <v>117</v>
      </c>
    </row>
    <row r="71" spans="1:22" x14ac:dyDescent="0.35">
      <c r="A71" s="55" t="s">
        <v>79</v>
      </c>
      <c r="B71" s="56" t="s">
        <v>1</v>
      </c>
      <c r="D71" s="57"/>
      <c r="E71" s="57"/>
      <c r="F71" s="57"/>
      <c r="G71" s="57"/>
      <c r="I71" s="57"/>
      <c r="J71" s="57"/>
      <c r="K71" s="57"/>
      <c r="L71" s="57"/>
      <c r="M71" s="57" t="s">
        <v>350</v>
      </c>
      <c r="N71" s="57">
        <v>93</v>
      </c>
      <c r="O71" s="57">
        <v>91</v>
      </c>
      <c r="P71" s="57" t="s">
        <v>350</v>
      </c>
      <c r="Q71" s="57" t="s">
        <v>350</v>
      </c>
      <c r="R71" s="57" t="s">
        <v>350</v>
      </c>
      <c r="S71" s="57" t="s">
        <v>350</v>
      </c>
      <c r="T71" s="57" t="s">
        <v>350</v>
      </c>
      <c r="U71" s="57" t="s">
        <v>350</v>
      </c>
      <c r="V71" s="56" t="s">
        <v>117</v>
      </c>
    </row>
    <row r="72" spans="1:22" x14ac:dyDescent="0.35">
      <c r="A72" s="55" t="s">
        <v>22</v>
      </c>
      <c r="B72" s="56" t="s">
        <v>1</v>
      </c>
      <c r="D72" s="57"/>
      <c r="E72" s="57"/>
      <c r="F72" s="57"/>
      <c r="G72" s="57"/>
      <c r="I72" s="57"/>
      <c r="J72" s="57"/>
      <c r="K72" s="57"/>
      <c r="L72" s="57"/>
      <c r="M72" s="59">
        <v>88</v>
      </c>
      <c r="N72" s="59">
        <v>86</v>
      </c>
      <c r="O72" s="59">
        <v>82</v>
      </c>
      <c r="P72" s="59">
        <v>94</v>
      </c>
      <c r="Q72" s="59">
        <v>105</v>
      </c>
      <c r="R72" s="59">
        <v>99</v>
      </c>
      <c r="S72" s="59">
        <v>115</v>
      </c>
      <c r="T72" s="59">
        <v>104</v>
      </c>
      <c r="U72" s="59" cm="1">
        <f t="array" aca="1" ref="U72" ca="1">M72:U71115</f>
        <v>0</v>
      </c>
      <c r="V72" s="56" t="s">
        <v>118</v>
      </c>
    </row>
    <row r="73" spans="1:22" x14ac:dyDescent="0.35">
      <c r="A73" s="51" t="s">
        <v>23</v>
      </c>
      <c r="B73" s="2" t="s">
        <v>1</v>
      </c>
      <c r="D73" s="57"/>
      <c r="E73" s="57"/>
      <c r="F73" s="57"/>
      <c r="G73" s="57"/>
      <c r="I73" s="5" t="s">
        <v>68</v>
      </c>
      <c r="J73" s="5" t="s">
        <v>68</v>
      </c>
      <c r="K73" s="5" t="s">
        <v>68</v>
      </c>
      <c r="L73" s="5" t="s">
        <v>68</v>
      </c>
      <c r="M73" s="8">
        <v>88</v>
      </c>
      <c r="N73" s="8">
        <v>86</v>
      </c>
      <c r="O73" s="8">
        <v>82</v>
      </c>
      <c r="P73" s="8">
        <v>94</v>
      </c>
      <c r="Q73" s="8">
        <v>105</v>
      </c>
      <c r="R73" s="8">
        <v>99</v>
      </c>
      <c r="S73" s="8">
        <v>115</v>
      </c>
      <c r="T73" s="8">
        <v>104</v>
      </c>
      <c r="U73" s="8">
        <v>115</v>
      </c>
      <c r="V73" s="56" t="s">
        <v>118</v>
      </c>
    </row>
    <row r="74" spans="1:22" x14ac:dyDescent="0.35">
      <c r="A74" s="55" t="s">
        <v>92</v>
      </c>
      <c r="B74" s="56" t="s">
        <v>1</v>
      </c>
      <c r="D74" s="57"/>
      <c r="E74" s="57"/>
      <c r="F74" s="57"/>
      <c r="G74" s="57"/>
      <c r="I74" s="57"/>
      <c r="J74" s="57"/>
      <c r="K74" s="57"/>
      <c r="L74" s="57"/>
      <c r="M74" s="57">
        <v>51</v>
      </c>
      <c r="N74" s="57">
        <v>55</v>
      </c>
      <c r="O74" s="57">
        <v>51</v>
      </c>
      <c r="P74" s="57">
        <v>56</v>
      </c>
      <c r="Q74" s="57">
        <v>50</v>
      </c>
      <c r="R74" s="57" t="s">
        <v>350</v>
      </c>
      <c r="S74" s="57" t="s">
        <v>350</v>
      </c>
      <c r="T74" s="57" t="s">
        <v>350</v>
      </c>
      <c r="U74" s="57" t="s">
        <v>350</v>
      </c>
      <c r="V74" s="56" t="s">
        <v>117</v>
      </c>
    </row>
    <row r="75" spans="1:22" x14ac:dyDescent="0.35">
      <c r="A75" s="55" t="s">
        <v>97</v>
      </c>
      <c r="B75" s="56" t="s">
        <v>1</v>
      </c>
      <c r="D75" s="57"/>
      <c r="E75" s="57"/>
      <c r="F75" s="57"/>
      <c r="G75" s="57"/>
      <c r="I75" s="57"/>
      <c r="J75" s="57"/>
      <c r="K75" s="57"/>
      <c r="L75" s="57"/>
      <c r="M75" s="59">
        <v>80</v>
      </c>
      <c r="N75" s="59">
        <v>81</v>
      </c>
      <c r="O75" s="59">
        <v>76</v>
      </c>
      <c r="P75" s="59">
        <v>76</v>
      </c>
      <c r="Q75" s="59">
        <v>68</v>
      </c>
      <c r="R75" s="59">
        <v>105</v>
      </c>
      <c r="S75" s="59">
        <v>112</v>
      </c>
      <c r="T75" s="59">
        <v>110</v>
      </c>
      <c r="U75" s="59">
        <v>109</v>
      </c>
      <c r="V75" s="56" t="s">
        <v>119</v>
      </c>
    </row>
    <row r="76" spans="1:22" x14ac:dyDescent="0.35">
      <c r="A76" s="55" t="s">
        <v>98</v>
      </c>
      <c r="B76" s="56" t="s">
        <v>1</v>
      </c>
      <c r="D76" s="57"/>
      <c r="E76" s="57"/>
      <c r="F76" s="57"/>
      <c r="G76" s="57"/>
      <c r="I76" s="57"/>
      <c r="J76" s="57"/>
      <c r="K76" s="57"/>
      <c r="L76" s="57"/>
      <c r="M76" s="59">
        <v>80</v>
      </c>
      <c r="N76" s="59">
        <v>81</v>
      </c>
      <c r="O76" s="59">
        <v>76</v>
      </c>
      <c r="P76" s="59">
        <v>76</v>
      </c>
      <c r="Q76" s="59">
        <v>68</v>
      </c>
      <c r="R76" s="59">
        <v>105</v>
      </c>
      <c r="S76" s="59">
        <v>112</v>
      </c>
      <c r="T76" s="59">
        <v>110</v>
      </c>
      <c r="U76" s="59">
        <v>109</v>
      </c>
      <c r="V76" s="56" t="s">
        <v>119</v>
      </c>
    </row>
    <row r="77" spans="1:22" x14ac:dyDescent="0.35">
      <c r="A77" s="55" t="s">
        <v>70</v>
      </c>
      <c r="B77" s="56" t="s">
        <v>68</v>
      </c>
      <c r="D77" s="57"/>
      <c r="E77" s="57"/>
      <c r="F77" s="57"/>
      <c r="G77" s="57"/>
      <c r="I77" s="57"/>
      <c r="J77" s="57"/>
      <c r="K77" s="57"/>
      <c r="L77" s="57"/>
      <c r="M77" s="57">
        <v>86</v>
      </c>
      <c r="N77" s="57">
        <v>82</v>
      </c>
      <c r="O77" s="57">
        <v>94</v>
      </c>
      <c r="P77" s="57">
        <v>86</v>
      </c>
      <c r="Q77" s="57">
        <v>100</v>
      </c>
      <c r="R77" s="57">
        <v>79</v>
      </c>
      <c r="S77" s="57">
        <v>91</v>
      </c>
      <c r="T77" s="57">
        <v>69</v>
      </c>
      <c r="U77" s="57">
        <v>88</v>
      </c>
      <c r="V77" s="56" t="s">
        <v>68</v>
      </c>
    </row>
    <row r="78" spans="1:22" x14ac:dyDescent="0.35">
      <c r="A78" s="55" t="s">
        <v>76</v>
      </c>
      <c r="B78" s="56" t="s">
        <v>68</v>
      </c>
      <c r="D78" s="57"/>
      <c r="E78" s="57"/>
      <c r="F78" s="57"/>
      <c r="G78" s="57"/>
      <c r="I78" s="57"/>
      <c r="J78" s="57"/>
      <c r="K78" s="57"/>
      <c r="L78" s="57"/>
      <c r="M78" s="57">
        <v>50</v>
      </c>
      <c r="N78" s="57">
        <v>63</v>
      </c>
      <c r="O78" s="57">
        <v>64</v>
      </c>
      <c r="P78" s="57">
        <v>55</v>
      </c>
      <c r="Q78" s="57">
        <v>55</v>
      </c>
      <c r="R78" s="57">
        <v>89</v>
      </c>
      <c r="S78" s="57">
        <v>100</v>
      </c>
      <c r="T78" s="57">
        <v>84</v>
      </c>
      <c r="U78" s="57">
        <v>100</v>
      </c>
      <c r="V78" s="56" t="s">
        <v>68</v>
      </c>
    </row>
    <row r="79" spans="1:22" x14ac:dyDescent="0.35">
      <c r="A79" s="55" t="s">
        <v>77</v>
      </c>
      <c r="B79" s="56" t="s">
        <v>68</v>
      </c>
      <c r="D79" s="57"/>
      <c r="E79" s="57"/>
      <c r="F79" s="57"/>
      <c r="G79" s="57"/>
      <c r="I79" s="57"/>
      <c r="J79" s="57"/>
      <c r="K79" s="57"/>
      <c r="L79" s="57"/>
      <c r="M79" s="57">
        <v>73</v>
      </c>
      <c r="N79" s="57">
        <v>75</v>
      </c>
      <c r="O79" s="57">
        <v>82</v>
      </c>
      <c r="P79" s="57">
        <v>71</v>
      </c>
      <c r="Q79" s="57">
        <v>86</v>
      </c>
      <c r="R79" s="57">
        <v>94</v>
      </c>
      <c r="S79" s="57">
        <v>97</v>
      </c>
      <c r="T79" s="57">
        <v>96</v>
      </c>
      <c r="U79" s="57">
        <v>100</v>
      </c>
      <c r="V79" s="56" t="s">
        <v>68</v>
      </c>
    </row>
    <row r="80" spans="1:22" x14ac:dyDescent="0.35">
      <c r="A80" s="55" t="s">
        <v>80</v>
      </c>
      <c r="B80" s="56" t="s">
        <v>68</v>
      </c>
      <c r="D80" s="57"/>
      <c r="E80" s="57"/>
      <c r="F80" s="57"/>
      <c r="G80" s="57"/>
      <c r="I80" s="57"/>
      <c r="J80" s="57"/>
      <c r="K80" s="57"/>
      <c r="L80" s="57"/>
      <c r="M80" s="57" t="s">
        <v>350</v>
      </c>
      <c r="N80" s="57">
        <v>93</v>
      </c>
      <c r="O80" s="57">
        <v>91</v>
      </c>
      <c r="P80" s="57" t="s">
        <v>350</v>
      </c>
      <c r="Q80" s="57" t="s">
        <v>350</v>
      </c>
      <c r="R80" s="57" t="s">
        <v>350</v>
      </c>
      <c r="S80" s="57" t="s">
        <v>350</v>
      </c>
      <c r="T80" s="57" t="s">
        <v>350</v>
      </c>
      <c r="U80" s="57" t="s">
        <v>350</v>
      </c>
      <c r="V80" s="56" t="s">
        <v>68</v>
      </c>
    </row>
    <row r="81" spans="1:22" x14ac:dyDescent="0.35">
      <c r="A81" s="55" t="s">
        <v>81</v>
      </c>
      <c r="B81" s="56" t="s">
        <v>68</v>
      </c>
      <c r="D81" s="57"/>
      <c r="E81" s="57"/>
      <c r="F81" s="57"/>
      <c r="G81" s="57"/>
      <c r="I81" s="57"/>
      <c r="J81" s="57"/>
      <c r="K81" s="57"/>
      <c r="L81" s="57"/>
      <c r="M81" s="57">
        <v>94</v>
      </c>
      <c r="N81" s="57">
        <v>91</v>
      </c>
      <c r="O81" s="57">
        <v>98</v>
      </c>
      <c r="P81" s="57">
        <v>88</v>
      </c>
      <c r="Q81" s="57">
        <v>94</v>
      </c>
      <c r="R81" s="57">
        <v>114</v>
      </c>
      <c r="S81" s="57">
        <v>112</v>
      </c>
      <c r="T81" s="57">
        <v>110</v>
      </c>
      <c r="U81" s="57">
        <v>106</v>
      </c>
      <c r="V81" s="56" t="s">
        <v>68</v>
      </c>
    </row>
    <row r="82" spans="1:22" x14ac:dyDescent="0.35">
      <c r="A82" s="55" t="s">
        <v>86</v>
      </c>
      <c r="B82" s="56" t="s">
        <v>68</v>
      </c>
      <c r="D82" s="57"/>
      <c r="E82" s="57"/>
      <c r="F82" s="57"/>
      <c r="G82" s="57"/>
      <c r="I82" s="57"/>
      <c r="J82" s="57"/>
      <c r="K82" s="57"/>
      <c r="L82" s="57"/>
      <c r="M82" s="57">
        <v>86</v>
      </c>
      <c r="N82" s="57">
        <v>92</v>
      </c>
      <c r="O82" s="57">
        <v>94</v>
      </c>
      <c r="P82" s="57">
        <v>77</v>
      </c>
      <c r="Q82" s="57">
        <v>89</v>
      </c>
      <c r="R82" s="57">
        <v>94</v>
      </c>
      <c r="S82" s="57">
        <v>91</v>
      </c>
      <c r="T82" s="57">
        <v>91</v>
      </c>
      <c r="U82" s="57">
        <v>91</v>
      </c>
      <c r="V82" s="56" t="s">
        <v>68</v>
      </c>
    </row>
    <row r="83" spans="1:22" x14ac:dyDescent="0.35">
      <c r="A83" s="55" t="s">
        <v>91</v>
      </c>
      <c r="B83" s="56" t="s">
        <v>68</v>
      </c>
      <c r="D83" s="57"/>
      <c r="E83" s="57"/>
      <c r="F83" s="57"/>
      <c r="G83" s="57"/>
      <c r="I83" s="57"/>
      <c r="J83" s="57"/>
      <c r="K83" s="57"/>
      <c r="L83" s="57"/>
      <c r="M83" s="57">
        <v>71</v>
      </c>
      <c r="N83" s="57">
        <v>81</v>
      </c>
      <c r="O83" s="57">
        <v>84</v>
      </c>
      <c r="P83" s="57">
        <v>74</v>
      </c>
      <c r="Q83" s="57">
        <v>64</v>
      </c>
      <c r="R83" s="57">
        <v>97</v>
      </c>
      <c r="S83" s="57">
        <v>109</v>
      </c>
      <c r="T83" s="57">
        <v>93</v>
      </c>
      <c r="U83" s="57">
        <v>109</v>
      </c>
      <c r="V83" s="56" t="s">
        <v>68</v>
      </c>
    </row>
    <row r="84" spans="1:22" x14ac:dyDescent="0.35">
      <c r="A84" s="55" t="s">
        <v>113</v>
      </c>
      <c r="B84" s="56" t="s">
        <v>68</v>
      </c>
      <c r="D84" s="57"/>
      <c r="E84" s="57"/>
      <c r="F84" s="57"/>
      <c r="G84" s="57"/>
      <c r="I84" s="57"/>
      <c r="J84" s="57"/>
      <c r="K84" s="57"/>
      <c r="L84" s="57"/>
      <c r="M84" s="57">
        <v>51</v>
      </c>
      <c r="N84" s="57">
        <v>55</v>
      </c>
      <c r="O84" s="57">
        <v>51</v>
      </c>
      <c r="P84" s="57">
        <v>56</v>
      </c>
      <c r="Q84" s="57">
        <v>50</v>
      </c>
      <c r="R84" s="57" t="s">
        <v>350</v>
      </c>
      <c r="S84" s="57" t="s">
        <v>350</v>
      </c>
      <c r="T84" s="57" t="s">
        <v>350</v>
      </c>
      <c r="U84" s="57" t="s">
        <v>350</v>
      </c>
      <c r="V84" s="56" t="s">
        <v>68</v>
      </c>
    </row>
    <row r="85" spans="1:22" x14ac:dyDescent="0.35">
      <c r="A85" s="55" t="s">
        <v>94</v>
      </c>
      <c r="B85" s="56" t="s">
        <v>68</v>
      </c>
      <c r="D85" s="57"/>
      <c r="E85" s="57"/>
      <c r="F85" s="57"/>
      <c r="G85" s="57"/>
      <c r="I85" s="57"/>
      <c r="J85" s="57"/>
      <c r="K85" s="57"/>
      <c r="L85" s="57"/>
      <c r="M85" s="57" t="s">
        <v>68</v>
      </c>
      <c r="N85" s="57" t="s">
        <v>68</v>
      </c>
      <c r="O85" s="57" t="s">
        <v>68</v>
      </c>
      <c r="P85" s="57" t="s">
        <v>68</v>
      </c>
      <c r="Q85" s="57" t="s">
        <v>68</v>
      </c>
      <c r="R85" s="57" t="s">
        <v>68</v>
      </c>
      <c r="S85" s="57" t="s">
        <v>68</v>
      </c>
      <c r="T85" s="57" t="s">
        <v>68</v>
      </c>
      <c r="U85" s="57" t="s">
        <v>68</v>
      </c>
      <c r="V85" s="56" t="s">
        <v>453</v>
      </c>
    </row>
    <row r="86" spans="1:22" x14ac:dyDescent="0.35">
      <c r="A86" s="55" t="s">
        <v>100</v>
      </c>
      <c r="B86" s="56" t="s">
        <v>68</v>
      </c>
      <c r="D86" s="57"/>
      <c r="E86" s="57"/>
      <c r="F86" s="57"/>
      <c r="G86" s="57"/>
      <c r="I86" s="57"/>
      <c r="J86" s="57"/>
      <c r="K86" s="57"/>
      <c r="L86" s="57"/>
      <c r="M86" s="57" t="s">
        <v>68</v>
      </c>
      <c r="N86" s="57" t="s">
        <v>68</v>
      </c>
      <c r="O86" s="57" t="s">
        <v>68</v>
      </c>
      <c r="P86" s="57" t="s">
        <v>68</v>
      </c>
      <c r="Q86" s="57" t="s">
        <v>68</v>
      </c>
      <c r="R86" s="57" t="s">
        <v>68</v>
      </c>
      <c r="S86" s="57" t="s">
        <v>68</v>
      </c>
      <c r="T86" s="57" t="s">
        <v>68</v>
      </c>
      <c r="U86" s="57" t="s">
        <v>68</v>
      </c>
      <c r="V86" s="56" t="s">
        <v>453</v>
      </c>
    </row>
    <row r="87" spans="1:22" x14ac:dyDescent="0.35">
      <c r="A87" s="55" t="s">
        <v>103</v>
      </c>
      <c r="B87" s="56" t="s">
        <v>68</v>
      </c>
      <c r="D87" s="57"/>
      <c r="E87" s="57"/>
      <c r="F87" s="57"/>
      <c r="G87" s="57"/>
      <c r="I87" s="57"/>
      <c r="J87" s="57"/>
      <c r="K87" s="57"/>
      <c r="L87" s="57"/>
      <c r="M87" s="57">
        <v>90</v>
      </c>
      <c r="N87" s="57">
        <v>94</v>
      </c>
      <c r="O87" s="57">
        <v>70</v>
      </c>
      <c r="P87" s="57">
        <v>112</v>
      </c>
      <c r="Q87" s="57">
        <v>100</v>
      </c>
      <c r="R87" s="57">
        <v>111</v>
      </c>
      <c r="S87" s="57">
        <v>91</v>
      </c>
      <c r="T87" s="57">
        <v>89</v>
      </c>
      <c r="U87" s="57">
        <v>85</v>
      </c>
      <c r="V87" s="56" t="s">
        <v>68</v>
      </c>
    </row>
    <row r="88" spans="1:22" x14ac:dyDescent="0.35">
      <c r="A88" s="55" t="s">
        <v>66</v>
      </c>
      <c r="B88" s="56" t="s">
        <v>68</v>
      </c>
      <c r="D88" s="57"/>
      <c r="E88" s="57"/>
      <c r="F88" s="57"/>
      <c r="G88" s="57"/>
      <c r="I88" s="57"/>
      <c r="J88" s="57"/>
      <c r="K88" s="57"/>
      <c r="L88" s="57"/>
      <c r="M88" s="57">
        <v>96</v>
      </c>
      <c r="N88" s="57">
        <v>95</v>
      </c>
      <c r="O88" s="57">
        <v>99</v>
      </c>
      <c r="P88" s="57">
        <v>98</v>
      </c>
      <c r="Q88" s="57">
        <v>105</v>
      </c>
      <c r="R88" s="57" t="s">
        <v>350</v>
      </c>
      <c r="S88" s="57" t="s">
        <v>350</v>
      </c>
      <c r="T88" s="57" t="s">
        <v>350</v>
      </c>
      <c r="U88" s="57" t="s">
        <v>350</v>
      </c>
      <c r="V88" s="56" t="s">
        <v>68</v>
      </c>
    </row>
  </sheetData>
  <sortState xmlns:xlrd2="http://schemas.microsoft.com/office/spreadsheetml/2017/richdata2" ref="A1:J62">
    <sortCondition ref="A1:A62"/>
  </sortState>
  <phoneticPr fontId="2" type="noConversion"/>
  <conditionalFormatting sqref="A1:A63 V1:V1048576 A64:C64 A65:A85 B77:C79 A80:C80 B81:C82 B85:C85 A86:C86 B87:C88 A87:A1048576">
    <cfRule type="containsText" dxfId="21" priority="62" operator="containsText" text="ok">
      <formula>NOT(ISERROR(SEARCH("ok",A1)))</formula>
    </cfRule>
  </conditionalFormatting>
  <conditionalFormatting sqref="D1:L1048576">
    <cfRule type="cellIs" dxfId="20" priority="6" operator="equal">
      <formula>"P"</formula>
    </cfRule>
    <cfRule type="cellIs" dxfId="19" priority="8" operator="equal">
      <formula>"A"</formula>
    </cfRule>
  </conditionalFormatting>
  <conditionalFormatting sqref="E51:G51 U29:U34 U61:U76">
    <cfRule type="containsText" dxfId="18" priority="20" operator="containsText" text="NI">
      <formula>NOT(ISERROR(SEARCH("NI",E29)))</formula>
    </cfRule>
  </conditionalFormatting>
  <conditionalFormatting sqref="I53:L53">
    <cfRule type="containsText" dxfId="17" priority="5" operator="containsText" text="NI">
      <formula>NOT(ISERROR(SEARCH("NI",I53)))</formula>
    </cfRule>
  </conditionalFormatting>
  <conditionalFormatting sqref="I55:L55">
    <cfRule type="containsText" dxfId="16" priority="4" operator="containsText" text="NI">
      <formula>NOT(ISERROR(SEARCH("NI",I55)))</formula>
    </cfRule>
  </conditionalFormatting>
  <conditionalFormatting sqref="I58:L58">
    <cfRule type="containsText" dxfId="15" priority="3" operator="containsText" text="NI">
      <formula>NOT(ISERROR(SEARCH("NI",I58)))</formula>
    </cfRule>
  </conditionalFormatting>
  <conditionalFormatting sqref="I51:T51">
    <cfRule type="containsText" dxfId="14" priority="10" operator="containsText" text="NI">
      <formula>NOT(ISERROR(SEARCH("NI",I51)))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E3CB-BB82-4E38-9625-63F9049E9733}">
  <dimension ref="A1:R67"/>
  <sheetViews>
    <sheetView tabSelected="1" zoomScale="84" zoomScaleNormal="145" workbookViewId="0">
      <selection activeCell="F54" sqref="F54"/>
    </sheetView>
  </sheetViews>
  <sheetFormatPr baseColWidth="10" defaultColWidth="8.7265625" defaultRowHeight="14.5" x14ac:dyDescent="0.35"/>
  <cols>
    <col min="1" max="1" width="7.453125" style="51" bestFit="1" customWidth="1"/>
    <col min="2" max="2" width="5.26953125" style="2" bestFit="1" customWidth="1"/>
    <col min="3" max="3" width="7" style="5" bestFit="1" customWidth="1"/>
    <col min="4" max="4" width="6.26953125" style="5" bestFit="1" customWidth="1"/>
    <col min="5" max="5" width="7" style="5" bestFit="1" customWidth="1"/>
    <col min="6" max="6" width="10.81640625" style="5" bestFit="1" customWidth="1"/>
    <col min="7" max="7" width="6.26953125" style="5" bestFit="1" customWidth="1"/>
    <col min="8" max="8" width="4.453125" style="5" bestFit="1" customWidth="1"/>
    <col min="9" max="9" width="4.1796875" style="5" bestFit="1" customWidth="1"/>
    <col min="10" max="10" width="4.453125" style="5" bestFit="1" customWidth="1"/>
    <col min="11" max="11" width="4.81640625" style="5" bestFit="1" customWidth="1"/>
    <col min="12" max="12" width="4.453125" style="5" bestFit="1" customWidth="1"/>
    <col min="13" max="14" width="4.26953125" style="5" bestFit="1" customWidth="1"/>
    <col min="15" max="16" width="4.54296875" style="5" bestFit="1" customWidth="1"/>
    <col min="17" max="18" width="11.1796875" style="88" bestFit="1" customWidth="1"/>
    <col min="19" max="19" width="31.26953125" bestFit="1" customWidth="1"/>
  </cols>
  <sheetData>
    <row r="1" spans="1:18" ht="15" thickBot="1" x14ac:dyDescent="0.4">
      <c r="A1" s="1" t="s">
        <v>0</v>
      </c>
      <c r="B1" s="1" t="s">
        <v>9</v>
      </c>
      <c r="C1" s="1" t="s">
        <v>44</v>
      </c>
      <c r="D1" s="1" t="s">
        <v>45</v>
      </c>
      <c r="E1" s="1" t="s">
        <v>177</v>
      </c>
      <c r="F1" s="1" t="s">
        <v>226</v>
      </c>
      <c r="G1" s="1" t="s">
        <v>648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341</v>
      </c>
      <c r="M1" s="1" t="s">
        <v>343</v>
      </c>
      <c r="N1" s="1" t="s">
        <v>345</v>
      </c>
      <c r="O1" s="1" t="s">
        <v>348</v>
      </c>
      <c r="P1" s="1" t="s">
        <v>349</v>
      </c>
      <c r="Q1" s="125" t="s">
        <v>550</v>
      </c>
      <c r="R1" s="125" t="s">
        <v>551</v>
      </c>
    </row>
    <row r="2" spans="1:18" x14ac:dyDescent="0.35">
      <c r="A2" s="1" t="s">
        <v>5</v>
      </c>
      <c r="B2" s="52" t="s">
        <v>2</v>
      </c>
      <c r="C2" s="20" t="s">
        <v>176</v>
      </c>
      <c r="D2" s="20" t="s">
        <v>169</v>
      </c>
      <c r="E2" s="20" t="s">
        <v>259</v>
      </c>
      <c r="F2" s="5" t="s">
        <v>68</v>
      </c>
      <c r="G2" s="5" t="s">
        <v>68</v>
      </c>
      <c r="H2" s="5">
        <v>96</v>
      </c>
      <c r="I2" s="8">
        <v>98</v>
      </c>
      <c r="J2" s="8">
        <v>100</v>
      </c>
      <c r="K2" s="8">
        <v>91</v>
      </c>
      <c r="L2" s="8">
        <v>94</v>
      </c>
      <c r="M2" s="8">
        <v>105</v>
      </c>
      <c r="N2" s="8">
        <v>123</v>
      </c>
      <c r="O2" s="8">
        <v>101</v>
      </c>
      <c r="P2" s="8">
        <v>115</v>
      </c>
      <c r="Q2" s="126" t="s">
        <v>553</v>
      </c>
      <c r="R2" s="126" t="s">
        <v>554</v>
      </c>
    </row>
    <row r="3" spans="1:18" x14ac:dyDescent="0.35">
      <c r="A3" s="51" t="s">
        <v>8</v>
      </c>
      <c r="B3" s="52" t="s">
        <v>2</v>
      </c>
      <c r="C3" s="20" t="s">
        <v>172</v>
      </c>
      <c r="D3" s="20" t="s">
        <v>174</v>
      </c>
      <c r="E3" s="20" t="s">
        <v>261</v>
      </c>
      <c r="F3" s="16" t="s">
        <v>572</v>
      </c>
      <c r="G3" s="16">
        <v>4.6900000000000048</v>
      </c>
      <c r="H3" s="8">
        <v>122</v>
      </c>
      <c r="I3" s="8">
        <v>116</v>
      </c>
      <c r="J3" s="8">
        <v>124</v>
      </c>
      <c r="K3" s="8">
        <v>120</v>
      </c>
      <c r="L3" s="8">
        <v>105</v>
      </c>
      <c r="M3" s="8">
        <v>105</v>
      </c>
      <c r="N3" s="8">
        <v>103</v>
      </c>
      <c r="O3" s="8">
        <v>104</v>
      </c>
      <c r="P3" s="8">
        <v>103</v>
      </c>
      <c r="Q3" s="126" t="s">
        <v>68</v>
      </c>
      <c r="R3" s="126" t="s">
        <v>68</v>
      </c>
    </row>
    <row r="4" spans="1:18" x14ac:dyDescent="0.35">
      <c r="A4" s="51" t="s">
        <v>69</v>
      </c>
      <c r="B4" s="52" t="s">
        <v>2</v>
      </c>
      <c r="C4" s="20" t="s">
        <v>315</v>
      </c>
      <c r="D4" s="20" t="s">
        <v>318</v>
      </c>
      <c r="E4" s="20" t="s">
        <v>299</v>
      </c>
      <c r="F4" s="12" t="s">
        <v>295</v>
      </c>
      <c r="G4" s="12">
        <v>-0.54999999999999716</v>
      </c>
      <c r="H4" s="5">
        <v>86</v>
      </c>
      <c r="I4" s="5">
        <v>82</v>
      </c>
      <c r="J4" s="5">
        <v>94</v>
      </c>
      <c r="K4" s="5">
        <v>86</v>
      </c>
      <c r="L4" s="5">
        <v>100</v>
      </c>
      <c r="M4" s="5">
        <v>79</v>
      </c>
      <c r="N4" s="5">
        <v>91</v>
      </c>
      <c r="O4" s="5">
        <v>69</v>
      </c>
      <c r="P4" s="5">
        <v>88</v>
      </c>
      <c r="Q4" s="126" t="s">
        <v>553</v>
      </c>
      <c r="R4" s="126" t="s">
        <v>555</v>
      </c>
    </row>
    <row r="5" spans="1:18" x14ac:dyDescent="0.35">
      <c r="A5" s="51" t="s">
        <v>29</v>
      </c>
      <c r="B5" s="52" t="s">
        <v>2</v>
      </c>
      <c r="C5" s="20" t="s">
        <v>320</v>
      </c>
      <c r="D5" s="20" t="s">
        <v>572</v>
      </c>
      <c r="E5" s="20" t="s">
        <v>572</v>
      </c>
      <c r="F5" s="16" t="s">
        <v>297</v>
      </c>
      <c r="G5" s="16">
        <v>-0.29999999999999716</v>
      </c>
      <c r="H5" s="5">
        <v>67</v>
      </c>
      <c r="I5" s="5">
        <v>71</v>
      </c>
      <c r="J5" s="5">
        <v>86</v>
      </c>
      <c r="K5" s="5">
        <v>68</v>
      </c>
      <c r="L5" s="5">
        <v>64</v>
      </c>
      <c r="M5" s="5">
        <v>102</v>
      </c>
      <c r="N5" s="5">
        <v>85</v>
      </c>
      <c r="O5" s="5">
        <v>104</v>
      </c>
      <c r="P5" s="5">
        <v>85</v>
      </c>
      <c r="Q5" s="126" t="s">
        <v>557</v>
      </c>
      <c r="R5" s="126" t="s">
        <v>556</v>
      </c>
    </row>
    <row r="6" spans="1:18" x14ac:dyDescent="0.35">
      <c r="A6" s="51" t="s">
        <v>30</v>
      </c>
      <c r="B6" s="52" t="s">
        <v>2</v>
      </c>
      <c r="C6" s="20" t="s">
        <v>179</v>
      </c>
      <c r="D6" s="20" t="s">
        <v>548</v>
      </c>
      <c r="E6" s="20" t="s">
        <v>572</v>
      </c>
      <c r="F6" s="5" t="s">
        <v>68</v>
      </c>
      <c r="G6" s="5" t="s">
        <v>68</v>
      </c>
      <c r="H6" s="5">
        <v>67</v>
      </c>
      <c r="I6" s="5">
        <v>71</v>
      </c>
      <c r="J6" s="5">
        <v>86</v>
      </c>
      <c r="K6" s="5">
        <v>68</v>
      </c>
      <c r="L6" s="5">
        <v>64</v>
      </c>
      <c r="M6" s="5">
        <v>102</v>
      </c>
      <c r="N6" s="5">
        <v>85</v>
      </c>
      <c r="O6" s="5">
        <v>104</v>
      </c>
      <c r="P6" s="5">
        <v>85</v>
      </c>
      <c r="Q6" s="126" t="s">
        <v>557</v>
      </c>
      <c r="R6" s="126" t="s">
        <v>556</v>
      </c>
    </row>
    <row r="7" spans="1:18" x14ac:dyDescent="0.35">
      <c r="A7" s="51" t="s">
        <v>12</v>
      </c>
      <c r="B7" s="52" t="s">
        <v>2</v>
      </c>
      <c r="C7" s="20" t="s">
        <v>181</v>
      </c>
      <c r="D7" s="20" t="s">
        <v>183</v>
      </c>
      <c r="E7" s="20" t="s">
        <v>264</v>
      </c>
      <c r="F7" s="41" t="s">
        <v>299</v>
      </c>
      <c r="G7" s="41">
        <v>6.2999999999999972</v>
      </c>
      <c r="H7" s="8">
        <v>105</v>
      </c>
      <c r="I7" s="8">
        <v>108</v>
      </c>
      <c r="J7" s="8">
        <v>116</v>
      </c>
      <c r="K7" s="8">
        <v>91</v>
      </c>
      <c r="L7" s="8">
        <v>94</v>
      </c>
      <c r="M7" s="8">
        <v>124</v>
      </c>
      <c r="N7" s="8">
        <v>112</v>
      </c>
      <c r="O7" s="8">
        <v>110</v>
      </c>
      <c r="P7" s="8">
        <v>103</v>
      </c>
      <c r="Q7" s="126" t="s">
        <v>558</v>
      </c>
      <c r="R7" s="126" t="s">
        <v>559</v>
      </c>
    </row>
    <row r="8" spans="1:18" x14ac:dyDescent="0.35">
      <c r="A8" s="51" t="s">
        <v>14</v>
      </c>
      <c r="B8" s="52" t="s">
        <v>2</v>
      </c>
      <c r="C8" s="20" t="s">
        <v>322</v>
      </c>
      <c r="D8" s="20" t="s">
        <v>186</v>
      </c>
      <c r="E8" s="20" t="s">
        <v>269</v>
      </c>
      <c r="F8" s="12" t="s">
        <v>302</v>
      </c>
      <c r="G8" s="12">
        <v>-7.8000000000000007</v>
      </c>
      <c r="H8" s="8">
        <v>106</v>
      </c>
      <c r="I8" s="8">
        <v>106</v>
      </c>
      <c r="J8" s="8">
        <v>110</v>
      </c>
      <c r="K8" s="8">
        <v>100</v>
      </c>
      <c r="L8" s="8">
        <v>102</v>
      </c>
      <c r="M8" s="8">
        <v>99</v>
      </c>
      <c r="N8" s="8">
        <v>88</v>
      </c>
      <c r="O8" s="8">
        <v>96</v>
      </c>
      <c r="P8" s="8">
        <v>88</v>
      </c>
      <c r="Q8" s="126" t="s">
        <v>553</v>
      </c>
      <c r="R8" s="126" t="s">
        <v>560</v>
      </c>
    </row>
    <row r="9" spans="1:18" x14ac:dyDescent="0.35">
      <c r="A9" s="51" t="s">
        <v>31</v>
      </c>
      <c r="B9" s="52" t="s">
        <v>2</v>
      </c>
      <c r="C9" s="20" t="s">
        <v>188</v>
      </c>
      <c r="D9" s="20" t="s">
        <v>190</v>
      </c>
      <c r="E9" s="20" t="s">
        <v>272</v>
      </c>
      <c r="F9" s="5" t="s">
        <v>68</v>
      </c>
      <c r="G9" s="5" t="s">
        <v>68</v>
      </c>
      <c r="H9" s="8">
        <v>137</v>
      </c>
      <c r="I9" s="8">
        <v>139</v>
      </c>
      <c r="J9" s="8">
        <v>128</v>
      </c>
      <c r="K9" s="8">
        <v>112</v>
      </c>
      <c r="L9" s="8">
        <v>137</v>
      </c>
      <c r="M9" s="8">
        <v>136</v>
      </c>
      <c r="N9" s="8">
        <v>115</v>
      </c>
      <c r="O9" s="8">
        <v>132</v>
      </c>
      <c r="P9" s="8">
        <v>118</v>
      </c>
      <c r="Q9" s="127" t="s">
        <v>68</v>
      </c>
      <c r="R9" s="127" t="s">
        <v>68</v>
      </c>
    </row>
    <row r="10" spans="1:18" x14ac:dyDescent="0.35">
      <c r="A10" s="51" t="s">
        <v>33</v>
      </c>
      <c r="B10" s="52" t="s">
        <v>2</v>
      </c>
      <c r="C10" s="20" t="s">
        <v>191</v>
      </c>
      <c r="D10" s="20" t="s">
        <v>192</v>
      </c>
      <c r="E10" s="20" t="s">
        <v>572</v>
      </c>
      <c r="F10" s="5" t="s">
        <v>68</v>
      </c>
      <c r="G10" s="5" t="s">
        <v>68</v>
      </c>
      <c r="H10" s="8">
        <v>99</v>
      </c>
      <c r="I10" s="8">
        <v>86</v>
      </c>
      <c r="J10" s="8">
        <v>110</v>
      </c>
      <c r="K10" s="8">
        <v>85</v>
      </c>
      <c r="L10" s="8">
        <v>117</v>
      </c>
      <c r="M10" s="8">
        <v>114</v>
      </c>
      <c r="N10" s="8">
        <v>126</v>
      </c>
      <c r="O10" s="8">
        <v>107</v>
      </c>
      <c r="P10" s="8">
        <v>121</v>
      </c>
      <c r="Q10" s="126" t="s">
        <v>558</v>
      </c>
      <c r="R10" s="126" t="s">
        <v>565</v>
      </c>
    </row>
    <row r="11" spans="1:18" x14ac:dyDescent="0.35">
      <c r="A11" s="51" t="s">
        <v>35</v>
      </c>
      <c r="B11" s="52" t="s">
        <v>2</v>
      </c>
      <c r="C11" s="20" t="s">
        <v>275</v>
      </c>
      <c r="D11" s="20" t="s">
        <v>277</v>
      </c>
      <c r="E11" s="20" t="s">
        <v>278</v>
      </c>
      <c r="F11" s="5" t="s">
        <v>68</v>
      </c>
      <c r="G11" s="5" t="s">
        <v>68</v>
      </c>
      <c r="H11" s="8">
        <v>61</v>
      </c>
      <c r="I11" s="8">
        <v>61</v>
      </c>
      <c r="J11" s="8">
        <v>78</v>
      </c>
      <c r="K11" s="8">
        <v>63</v>
      </c>
      <c r="L11" s="8">
        <v>72</v>
      </c>
      <c r="M11" s="8">
        <v>70</v>
      </c>
      <c r="N11" s="8">
        <v>71</v>
      </c>
      <c r="O11" s="8">
        <v>74</v>
      </c>
      <c r="P11" s="8">
        <v>60</v>
      </c>
      <c r="Q11" s="134">
        <v>0.94</v>
      </c>
      <c r="R11" s="129" t="s">
        <v>566</v>
      </c>
    </row>
    <row r="12" spans="1:18" x14ac:dyDescent="0.35">
      <c r="A12" s="51" t="s">
        <v>37</v>
      </c>
      <c r="B12" s="52" t="s">
        <v>2</v>
      </c>
      <c r="C12" s="20" t="s">
        <v>194</v>
      </c>
      <c r="D12" s="20" t="s">
        <v>196</v>
      </c>
      <c r="E12" s="20" t="s">
        <v>280</v>
      </c>
      <c r="F12" s="5" t="s">
        <v>68</v>
      </c>
      <c r="G12" s="5" t="s">
        <v>68</v>
      </c>
      <c r="H12" s="8">
        <v>69</v>
      </c>
      <c r="I12" s="8">
        <v>75</v>
      </c>
      <c r="J12" s="8">
        <v>70</v>
      </c>
      <c r="K12" s="8">
        <v>63</v>
      </c>
      <c r="L12" s="8">
        <v>94</v>
      </c>
      <c r="M12" s="8">
        <v>72</v>
      </c>
      <c r="N12" s="8">
        <v>74</v>
      </c>
      <c r="O12" s="8">
        <v>70</v>
      </c>
      <c r="P12" s="8">
        <v>72</v>
      </c>
      <c r="Q12" s="129" t="s">
        <v>68</v>
      </c>
      <c r="R12" s="129" t="s">
        <v>68</v>
      </c>
    </row>
    <row r="13" spans="1:18" x14ac:dyDescent="0.35">
      <c r="A13" s="51" t="s">
        <v>38</v>
      </c>
      <c r="B13" s="52" t="s">
        <v>2</v>
      </c>
      <c r="C13" s="20" t="s">
        <v>198</v>
      </c>
      <c r="D13" s="20" t="s">
        <v>200</v>
      </c>
      <c r="E13" s="20" t="s">
        <v>282</v>
      </c>
      <c r="F13" s="5" t="s">
        <v>68</v>
      </c>
      <c r="G13" s="5" t="s">
        <v>68</v>
      </c>
      <c r="H13" s="8">
        <v>69</v>
      </c>
      <c r="I13" s="8">
        <v>75</v>
      </c>
      <c r="J13" s="8">
        <v>70</v>
      </c>
      <c r="K13" s="8">
        <v>63</v>
      </c>
      <c r="L13" s="8">
        <v>94</v>
      </c>
      <c r="M13" s="8">
        <v>72</v>
      </c>
      <c r="N13" s="8">
        <v>74</v>
      </c>
      <c r="O13" s="8">
        <v>70</v>
      </c>
      <c r="P13" s="8">
        <v>72</v>
      </c>
      <c r="Q13" s="129" t="s">
        <v>68</v>
      </c>
      <c r="R13" s="129" t="s">
        <v>68</v>
      </c>
    </row>
    <row r="14" spans="1:18" x14ac:dyDescent="0.35">
      <c r="A14" s="51" t="s">
        <v>39</v>
      </c>
      <c r="B14" s="52" t="s">
        <v>2</v>
      </c>
      <c r="C14" s="20" t="s">
        <v>202</v>
      </c>
      <c r="D14" s="20" t="s">
        <v>324</v>
      </c>
      <c r="E14" s="20" t="s">
        <v>326</v>
      </c>
      <c r="F14" s="16" t="s">
        <v>304</v>
      </c>
      <c r="G14" s="16">
        <v>11.199999999999996</v>
      </c>
      <c r="H14" s="5">
        <v>94</v>
      </c>
      <c r="I14" s="5">
        <v>116</v>
      </c>
      <c r="J14" s="5">
        <v>94</v>
      </c>
      <c r="K14" s="5">
        <v>71</v>
      </c>
      <c r="L14" s="5">
        <v>94</v>
      </c>
      <c r="M14" s="5">
        <v>92</v>
      </c>
      <c r="N14" s="5">
        <v>94</v>
      </c>
      <c r="O14" s="5">
        <v>86</v>
      </c>
      <c r="P14" s="5">
        <v>97</v>
      </c>
      <c r="Q14" s="129" t="s">
        <v>68</v>
      </c>
      <c r="R14" s="129" t="s">
        <v>68</v>
      </c>
    </row>
    <row r="15" spans="1:18" x14ac:dyDescent="0.35">
      <c r="A15" s="51" t="s">
        <v>40</v>
      </c>
      <c r="B15" s="52" t="s">
        <v>2</v>
      </c>
      <c r="C15" s="20" t="s">
        <v>204</v>
      </c>
      <c r="D15" s="20" t="s">
        <v>206</v>
      </c>
      <c r="E15" s="20" t="s">
        <v>284</v>
      </c>
      <c r="F15" s="12" t="s">
        <v>232</v>
      </c>
      <c r="G15" s="12">
        <v>13.400000000000006</v>
      </c>
      <c r="H15" s="5">
        <v>94</v>
      </c>
      <c r="I15" s="5">
        <v>116</v>
      </c>
      <c r="J15" s="5">
        <v>94</v>
      </c>
      <c r="K15" s="5">
        <v>71</v>
      </c>
      <c r="L15" s="5">
        <v>94</v>
      </c>
      <c r="M15" s="5">
        <v>92</v>
      </c>
      <c r="N15" s="5">
        <v>94</v>
      </c>
      <c r="O15" s="5">
        <v>86</v>
      </c>
      <c r="P15" s="5">
        <v>97</v>
      </c>
      <c r="Q15" s="129" t="s">
        <v>68</v>
      </c>
      <c r="R15" s="129" t="s">
        <v>68</v>
      </c>
    </row>
    <row r="16" spans="1:18" x14ac:dyDescent="0.35">
      <c r="A16" s="51" t="s">
        <v>25</v>
      </c>
      <c r="B16" s="52" t="s">
        <v>2</v>
      </c>
      <c r="C16" s="20" t="s">
        <v>572</v>
      </c>
      <c r="D16" s="20" t="s">
        <v>503</v>
      </c>
      <c r="E16" s="20" t="s">
        <v>194</v>
      </c>
      <c r="F16" s="5" t="s">
        <v>68</v>
      </c>
      <c r="G16" s="5" t="s">
        <v>68</v>
      </c>
      <c r="H16" s="8">
        <v>87</v>
      </c>
      <c r="I16" s="8">
        <v>92</v>
      </c>
      <c r="J16" s="8">
        <v>85</v>
      </c>
      <c r="K16" s="8">
        <v>97</v>
      </c>
      <c r="L16" s="8">
        <v>88</v>
      </c>
      <c r="M16" s="8">
        <v>94</v>
      </c>
      <c r="N16" s="8">
        <v>109</v>
      </c>
      <c r="O16" s="8">
        <v>96</v>
      </c>
      <c r="P16" s="8">
        <v>112</v>
      </c>
      <c r="Q16" s="129" t="s">
        <v>68</v>
      </c>
      <c r="R16" s="129" t="s">
        <v>68</v>
      </c>
    </row>
    <row r="17" spans="1:18" x14ac:dyDescent="0.35">
      <c r="A17" s="51" t="s">
        <v>63</v>
      </c>
      <c r="B17" s="52" t="s">
        <v>2</v>
      </c>
      <c r="C17" s="5" t="s">
        <v>68</v>
      </c>
      <c r="D17" s="5" t="s">
        <v>68</v>
      </c>
      <c r="E17" s="5" t="s">
        <v>68</v>
      </c>
      <c r="F17" s="16" t="s">
        <v>310</v>
      </c>
      <c r="G17" s="16">
        <v>8.9000000000000057</v>
      </c>
      <c r="H17" s="5">
        <v>97</v>
      </c>
      <c r="I17" s="5">
        <v>112</v>
      </c>
      <c r="J17" s="5">
        <v>82</v>
      </c>
      <c r="K17" s="5">
        <v>85</v>
      </c>
      <c r="L17" s="5">
        <v>97</v>
      </c>
      <c r="M17" s="5">
        <v>124</v>
      </c>
      <c r="N17" s="5">
        <v>118</v>
      </c>
      <c r="O17" s="5">
        <v>123</v>
      </c>
      <c r="P17" s="5">
        <v>118</v>
      </c>
      <c r="Q17" s="129" t="s">
        <v>68</v>
      </c>
      <c r="R17" s="129" t="s">
        <v>68</v>
      </c>
    </row>
    <row r="18" spans="1:18" x14ac:dyDescent="0.35">
      <c r="A18" s="51" t="s">
        <v>65</v>
      </c>
      <c r="B18" s="52" t="s">
        <v>2</v>
      </c>
      <c r="C18" s="20" t="s">
        <v>208</v>
      </c>
      <c r="D18" s="20" t="s">
        <v>210</v>
      </c>
      <c r="E18" s="20" t="s">
        <v>288</v>
      </c>
      <c r="F18" s="16" t="s">
        <v>572</v>
      </c>
      <c r="G18" s="16">
        <v>27.899999999999991</v>
      </c>
      <c r="H18" s="8">
        <v>73</v>
      </c>
      <c r="I18" s="8">
        <v>84</v>
      </c>
      <c r="J18" s="8">
        <v>68</v>
      </c>
      <c r="K18" s="8">
        <v>86</v>
      </c>
      <c r="L18" s="8">
        <v>69</v>
      </c>
      <c r="M18" s="8">
        <v>111</v>
      </c>
      <c r="N18" s="8">
        <v>91</v>
      </c>
      <c r="O18" s="8">
        <v>107</v>
      </c>
      <c r="P18" s="8">
        <v>103</v>
      </c>
      <c r="Q18" s="129" t="s">
        <v>68</v>
      </c>
      <c r="R18" s="129" t="s">
        <v>68</v>
      </c>
    </row>
    <row r="19" spans="1:18" x14ac:dyDescent="0.35">
      <c r="A19" s="51" t="s">
        <v>67</v>
      </c>
      <c r="B19" s="52" t="s">
        <v>2</v>
      </c>
      <c r="C19" s="20" t="s">
        <v>290</v>
      </c>
      <c r="D19" s="20" t="s">
        <v>212</v>
      </c>
      <c r="E19" s="20" t="s">
        <v>291</v>
      </c>
      <c r="F19" s="5" t="s">
        <v>68</v>
      </c>
      <c r="G19" s="5" t="s">
        <v>68</v>
      </c>
      <c r="H19" s="5">
        <v>96</v>
      </c>
      <c r="I19" s="5">
        <v>95</v>
      </c>
      <c r="J19" s="5">
        <v>99</v>
      </c>
      <c r="K19" s="5">
        <v>98</v>
      </c>
      <c r="L19" s="5">
        <v>105</v>
      </c>
      <c r="M19" s="5">
        <v>108</v>
      </c>
      <c r="N19" s="5">
        <v>100</v>
      </c>
      <c r="O19" s="5">
        <v>104</v>
      </c>
      <c r="P19" s="5">
        <v>94</v>
      </c>
      <c r="Q19" s="126" t="s">
        <v>553</v>
      </c>
      <c r="R19" s="126" t="s">
        <v>569</v>
      </c>
    </row>
    <row r="20" spans="1:18" ht="15" thickBot="1" x14ac:dyDescent="0.4">
      <c r="A20" s="51" t="s">
        <v>26</v>
      </c>
      <c r="B20" s="52" t="s">
        <v>2</v>
      </c>
      <c r="C20" s="20" t="s">
        <v>216</v>
      </c>
      <c r="D20" s="20" t="s">
        <v>214</v>
      </c>
      <c r="E20" s="20" t="s">
        <v>293</v>
      </c>
      <c r="F20" s="16" t="s">
        <v>311</v>
      </c>
      <c r="G20" s="16">
        <v>0.39999999999999858</v>
      </c>
      <c r="H20" s="8">
        <v>93</v>
      </c>
      <c r="I20" s="8">
        <v>84</v>
      </c>
      <c r="J20" s="8">
        <v>98</v>
      </c>
      <c r="K20" s="8">
        <v>88</v>
      </c>
      <c r="L20" s="8">
        <v>89</v>
      </c>
      <c r="M20" s="8">
        <v>94</v>
      </c>
      <c r="N20" s="53">
        <v>100</v>
      </c>
      <c r="O20" s="53">
        <v>101</v>
      </c>
      <c r="P20" s="53">
        <v>100</v>
      </c>
      <c r="Q20" s="127" t="s">
        <v>68</v>
      </c>
      <c r="R20" s="127" t="s">
        <v>68</v>
      </c>
    </row>
    <row r="21" spans="1:18" x14ac:dyDescent="0.35">
      <c r="A21" s="51" t="s">
        <v>10</v>
      </c>
      <c r="B21" s="2" t="s">
        <v>3</v>
      </c>
      <c r="C21" s="72">
        <v>-293.39999999999998</v>
      </c>
      <c r="D21" s="72">
        <v>50.6</v>
      </c>
      <c r="E21" s="83">
        <v>-39.299999999999997</v>
      </c>
      <c r="F21" s="12" t="s">
        <v>356</v>
      </c>
      <c r="G21" s="12">
        <v>6.3999999999999915</v>
      </c>
      <c r="H21" s="8">
        <v>100</v>
      </c>
      <c r="I21" s="8">
        <v>89</v>
      </c>
      <c r="J21" s="8">
        <v>105</v>
      </c>
      <c r="K21" s="8">
        <v>94</v>
      </c>
      <c r="L21" s="8">
        <v>108</v>
      </c>
      <c r="M21" s="8" t="s">
        <v>68</v>
      </c>
      <c r="N21" s="8" t="s">
        <v>68</v>
      </c>
      <c r="O21" s="8" t="s">
        <v>68</v>
      </c>
      <c r="P21" s="8" t="s">
        <v>68</v>
      </c>
      <c r="Q21" s="133">
        <v>1</v>
      </c>
      <c r="R21" s="128" t="s">
        <v>68</v>
      </c>
    </row>
    <row r="22" spans="1:18" x14ac:dyDescent="0.35">
      <c r="A22" s="51" t="s">
        <v>13</v>
      </c>
      <c r="B22" s="2" t="s">
        <v>3</v>
      </c>
      <c r="C22" s="8">
        <v>-78.2</v>
      </c>
      <c r="D22" s="8">
        <v>75.3</v>
      </c>
      <c r="E22" s="5">
        <v>-41.7</v>
      </c>
      <c r="F22" s="12" t="s">
        <v>361</v>
      </c>
      <c r="G22" s="12">
        <v>20</v>
      </c>
      <c r="H22" s="8">
        <v>105</v>
      </c>
      <c r="I22" s="8">
        <v>108</v>
      </c>
      <c r="J22" s="8">
        <v>116</v>
      </c>
      <c r="K22" s="8">
        <v>91</v>
      </c>
      <c r="L22" s="8">
        <v>94</v>
      </c>
      <c r="M22" s="8">
        <v>124</v>
      </c>
      <c r="N22" s="8">
        <v>112</v>
      </c>
      <c r="O22" s="8">
        <v>110</v>
      </c>
      <c r="P22" s="8">
        <v>103</v>
      </c>
      <c r="Q22" s="134">
        <v>1</v>
      </c>
      <c r="R22" s="129" t="s">
        <v>559</v>
      </c>
    </row>
    <row r="23" spans="1:18" x14ac:dyDescent="0.35">
      <c r="A23" s="51" t="s">
        <v>73</v>
      </c>
      <c r="B23" s="2" t="s">
        <v>3</v>
      </c>
      <c r="C23" s="8">
        <v>-77.7</v>
      </c>
      <c r="D23" s="8">
        <v>125.5</v>
      </c>
      <c r="E23" s="5">
        <v>-109.3</v>
      </c>
      <c r="F23" s="12" t="s">
        <v>366</v>
      </c>
      <c r="G23" s="12">
        <v>20.899999999999991</v>
      </c>
      <c r="H23" s="5">
        <v>115</v>
      </c>
      <c r="I23" s="5">
        <v>124</v>
      </c>
      <c r="J23" s="5">
        <v>106</v>
      </c>
      <c r="K23" s="5">
        <v>114</v>
      </c>
      <c r="L23" s="5">
        <v>102</v>
      </c>
      <c r="M23" s="5">
        <v>114</v>
      </c>
      <c r="N23" s="5">
        <v>106</v>
      </c>
      <c r="O23" s="5">
        <v>119</v>
      </c>
      <c r="P23" s="5">
        <v>106</v>
      </c>
      <c r="Q23" s="129" t="s">
        <v>68</v>
      </c>
      <c r="R23" s="129" t="s">
        <v>68</v>
      </c>
    </row>
    <row r="24" spans="1:18" x14ac:dyDescent="0.35">
      <c r="A24" s="51" t="s">
        <v>17</v>
      </c>
      <c r="B24" s="2" t="s">
        <v>3</v>
      </c>
      <c r="C24" s="8">
        <v>0</v>
      </c>
      <c r="D24" s="8">
        <v>90.7</v>
      </c>
      <c r="E24" s="5">
        <v>-19.5</v>
      </c>
      <c r="F24" s="12" t="s">
        <v>372</v>
      </c>
      <c r="G24" s="12">
        <v>0</v>
      </c>
      <c r="H24" s="8">
        <v>103</v>
      </c>
      <c r="I24" s="8">
        <v>104</v>
      </c>
      <c r="J24" s="8">
        <v>106</v>
      </c>
      <c r="K24" s="8">
        <v>103</v>
      </c>
      <c r="L24" s="8">
        <v>94</v>
      </c>
      <c r="M24" s="8">
        <v>102</v>
      </c>
      <c r="N24" s="8">
        <v>103</v>
      </c>
      <c r="O24" s="8">
        <v>98</v>
      </c>
      <c r="P24" s="8">
        <v>97</v>
      </c>
      <c r="Q24" s="134">
        <v>0.98</v>
      </c>
      <c r="R24" s="129" t="s">
        <v>561</v>
      </c>
    </row>
    <row r="25" spans="1:18" x14ac:dyDescent="0.35">
      <c r="A25" s="51" t="s">
        <v>18</v>
      </c>
      <c r="B25" s="2" t="s">
        <v>3</v>
      </c>
      <c r="C25" s="8">
        <v>28.5</v>
      </c>
      <c r="D25" s="8">
        <v>65.3</v>
      </c>
      <c r="E25" s="5">
        <v>25.4</v>
      </c>
      <c r="F25" s="12" t="s">
        <v>68</v>
      </c>
      <c r="G25" s="5" t="s">
        <v>68</v>
      </c>
      <c r="H25" s="8">
        <v>93</v>
      </c>
      <c r="I25" s="8">
        <v>94</v>
      </c>
      <c r="J25" s="8">
        <v>92</v>
      </c>
      <c r="K25" s="8">
        <v>83</v>
      </c>
      <c r="L25" s="8">
        <v>100</v>
      </c>
      <c r="M25" s="8">
        <v>79</v>
      </c>
      <c r="N25" s="8">
        <v>94</v>
      </c>
      <c r="O25" s="8">
        <v>84</v>
      </c>
      <c r="P25" s="8">
        <v>100</v>
      </c>
      <c r="Q25" s="129" t="s">
        <v>68</v>
      </c>
      <c r="R25" s="129" t="s">
        <v>563</v>
      </c>
    </row>
    <row r="26" spans="1:18" x14ac:dyDescent="0.35">
      <c r="A26" s="51" t="s">
        <v>82</v>
      </c>
      <c r="B26" s="2" t="s">
        <v>3</v>
      </c>
      <c r="C26" s="8">
        <v>-84.2</v>
      </c>
      <c r="D26" s="8">
        <v>248.4</v>
      </c>
      <c r="E26" s="5">
        <v>-81.2</v>
      </c>
      <c r="F26" s="12" t="s">
        <v>376</v>
      </c>
      <c r="G26" s="12">
        <v>-6.8999999999999986</v>
      </c>
      <c r="H26" s="5">
        <v>94</v>
      </c>
      <c r="I26" s="5">
        <v>91</v>
      </c>
      <c r="J26" s="5">
        <v>98</v>
      </c>
      <c r="K26" s="5">
        <v>88</v>
      </c>
      <c r="L26" s="5">
        <v>94</v>
      </c>
      <c r="M26" s="5">
        <v>114</v>
      </c>
      <c r="N26" s="5">
        <v>112</v>
      </c>
      <c r="O26" s="5">
        <v>110</v>
      </c>
      <c r="P26" s="5">
        <v>106</v>
      </c>
      <c r="Q26" s="129" t="s">
        <v>68</v>
      </c>
      <c r="R26" s="129" t="s">
        <v>68</v>
      </c>
    </row>
    <row r="27" spans="1:18" x14ac:dyDescent="0.35">
      <c r="A27" s="51" t="s">
        <v>84</v>
      </c>
      <c r="B27" s="2" t="s">
        <v>3</v>
      </c>
      <c r="C27" s="8">
        <v>-50.1</v>
      </c>
      <c r="D27" s="8">
        <v>47.5</v>
      </c>
      <c r="E27" s="5">
        <v>-50.4</v>
      </c>
      <c r="F27" s="12" t="s">
        <v>381</v>
      </c>
      <c r="G27" s="12">
        <v>0.19999999999999929</v>
      </c>
      <c r="H27" s="8">
        <v>104</v>
      </c>
      <c r="I27" s="8">
        <v>110</v>
      </c>
      <c r="J27" s="8">
        <v>106</v>
      </c>
      <c r="K27" s="8">
        <v>91</v>
      </c>
      <c r="L27" s="8">
        <v>102</v>
      </c>
      <c r="M27" s="8">
        <v>114</v>
      </c>
      <c r="N27" s="8">
        <v>109</v>
      </c>
      <c r="O27" s="8">
        <v>119</v>
      </c>
      <c r="P27" s="8">
        <v>109</v>
      </c>
      <c r="Q27" s="134">
        <v>1</v>
      </c>
      <c r="R27" s="129" t="s">
        <v>564</v>
      </c>
    </row>
    <row r="28" spans="1:18" x14ac:dyDescent="0.35">
      <c r="A28" s="51" t="s">
        <v>101</v>
      </c>
      <c r="B28" s="2" t="s">
        <v>3</v>
      </c>
      <c r="C28" s="8">
        <v>-176.4</v>
      </c>
      <c r="D28" s="8">
        <v>131.9</v>
      </c>
      <c r="E28" s="5">
        <v>-120.1</v>
      </c>
      <c r="F28" s="41" t="s">
        <v>68</v>
      </c>
      <c r="G28" s="41" t="s">
        <v>68</v>
      </c>
      <c r="H28" s="62">
        <v>76</v>
      </c>
      <c r="I28" s="62">
        <v>84</v>
      </c>
      <c r="J28" s="62">
        <v>76</v>
      </c>
      <c r="K28" s="62">
        <v>74</v>
      </c>
      <c r="L28" s="62">
        <v>89</v>
      </c>
      <c r="M28" s="8">
        <v>94</v>
      </c>
      <c r="N28" s="8">
        <v>103</v>
      </c>
      <c r="O28" s="8">
        <v>89</v>
      </c>
      <c r="P28" s="8">
        <v>97</v>
      </c>
      <c r="Q28" s="129" t="s">
        <v>68</v>
      </c>
      <c r="R28" s="129" t="s">
        <v>68</v>
      </c>
    </row>
    <row r="29" spans="1:18" x14ac:dyDescent="0.35">
      <c r="A29" s="51" t="s">
        <v>106</v>
      </c>
      <c r="B29" s="2" t="s">
        <v>3</v>
      </c>
      <c r="C29" s="8">
        <v>0</v>
      </c>
      <c r="D29" s="8">
        <v>19</v>
      </c>
      <c r="E29" s="5">
        <v>0</v>
      </c>
      <c r="F29" s="41" t="s">
        <v>68</v>
      </c>
      <c r="G29" s="41" t="s">
        <v>68</v>
      </c>
      <c r="H29" s="8">
        <v>100</v>
      </c>
      <c r="I29" s="8">
        <v>122</v>
      </c>
      <c r="J29" s="8">
        <v>80</v>
      </c>
      <c r="K29" s="8">
        <v>109</v>
      </c>
      <c r="L29" s="8">
        <v>89</v>
      </c>
      <c r="M29" s="8">
        <v>94</v>
      </c>
      <c r="N29" s="8">
        <v>94</v>
      </c>
      <c r="O29" s="8">
        <v>104</v>
      </c>
      <c r="P29" s="8">
        <v>94</v>
      </c>
      <c r="Q29" s="134">
        <v>1</v>
      </c>
      <c r="R29" s="129" t="s">
        <v>568</v>
      </c>
    </row>
    <row r="30" spans="1:18" x14ac:dyDescent="0.35">
      <c r="A30" s="51" t="s">
        <v>107</v>
      </c>
      <c r="B30" s="2" t="s">
        <v>3</v>
      </c>
      <c r="C30" s="8">
        <v>-32.799999999999997</v>
      </c>
      <c r="D30" s="8">
        <v>0</v>
      </c>
      <c r="E30" s="5">
        <v>0</v>
      </c>
      <c r="F30" s="41" t="s">
        <v>68</v>
      </c>
      <c r="G30" s="41" t="s">
        <v>68</v>
      </c>
      <c r="H30" s="5" t="s">
        <v>68</v>
      </c>
      <c r="I30" s="5" t="s">
        <v>68</v>
      </c>
      <c r="J30" s="5" t="s">
        <v>68</v>
      </c>
      <c r="K30" s="5" t="s">
        <v>68</v>
      </c>
      <c r="L30" s="5" t="s">
        <v>68</v>
      </c>
      <c r="M30" s="5" t="s">
        <v>68</v>
      </c>
      <c r="N30" s="5" t="s">
        <v>68</v>
      </c>
      <c r="O30" s="5" t="s">
        <v>68</v>
      </c>
      <c r="P30" s="5" t="s">
        <v>68</v>
      </c>
      <c r="Q30" s="129" t="s">
        <v>68</v>
      </c>
      <c r="R30" s="129" t="s">
        <v>68</v>
      </c>
    </row>
    <row r="31" spans="1:18" x14ac:dyDescent="0.35">
      <c r="A31" s="51" t="s">
        <v>108</v>
      </c>
      <c r="B31" s="2" t="s">
        <v>3</v>
      </c>
      <c r="C31" s="8">
        <v>-98.4</v>
      </c>
      <c r="D31" s="8">
        <v>75.099999999999994</v>
      </c>
      <c r="E31" s="5">
        <v>-27.9</v>
      </c>
      <c r="F31" s="12" t="s">
        <v>455</v>
      </c>
      <c r="G31" s="12" t="s">
        <v>572</v>
      </c>
      <c r="H31" s="5" t="s">
        <v>68</v>
      </c>
      <c r="I31" s="5" t="s">
        <v>68</v>
      </c>
      <c r="J31" s="5" t="s">
        <v>68</v>
      </c>
      <c r="K31" s="5" t="s">
        <v>68</v>
      </c>
      <c r="L31" s="5" t="s">
        <v>68</v>
      </c>
      <c r="M31" s="5" t="s">
        <v>68</v>
      </c>
      <c r="N31" s="5" t="s">
        <v>68</v>
      </c>
      <c r="O31" s="5" t="s">
        <v>68</v>
      </c>
      <c r="P31" s="5" t="s">
        <v>68</v>
      </c>
      <c r="Q31" s="129" t="s">
        <v>68</v>
      </c>
      <c r="R31" s="129" t="s">
        <v>68</v>
      </c>
    </row>
    <row r="32" spans="1:18" x14ac:dyDescent="0.35">
      <c r="A32" s="51" t="s">
        <v>110</v>
      </c>
      <c r="B32" s="2" t="s">
        <v>3</v>
      </c>
      <c r="C32" s="8">
        <v>0</v>
      </c>
      <c r="D32" s="8">
        <v>113.2</v>
      </c>
      <c r="E32" s="5">
        <v>-73.099999999999994</v>
      </c>
      <c r="F32" s="41" t="s">
        <v>68</v>
      </c>
      <c r="G32" s="41" t="s">
        <v>68</v>
      </c>
      <c r="H32" s="5" t="s">
        <v>68</v>
      </c>
      <c r="I32" s="5">
        <v>126</v>
      </c>
      <c r="J32" s="5">
        <v>74</v>
      </c>
      <c r="K32" s="5">
        <v>103</v>
      </c>
      <c r="L32" s="5">
        <v>84</v>
      </c>
      <c r="M32" s="5">
        <v>82</v>
      </c>
      <c r="N32" s="5">
        <v>94</v>
      </c>
      <c r="O32" s="5">
        <v>86</v>
      </c>
      <c r="P32" s="5">
        <v>94</v>
      </c>
      <c r="Q32" s="134">
        <v>1</v>
      </c>
      <c r="R32" s="129" t="s">
        <v>570</v>
      </c>
    </row>
    <row r="33" spans="1:18" ht="15" thickBot="1" x14ac:dyDescent="0.4">
      <c r="A33" s="51" t="s">
        <v>112</v>
      </c>
      <c r="B33" s="2" t="s">
        <v>3</v>
      </c>
      <c r="C33" s="57" t="s">
        <v>68</v>
      </c>
      <c r="D33" s="57" t="s">
        <v>68</v>
      </c>
      <c r="E33" s="57" t="s">
        <v>68</v>
      </c>
      <c r="F33" s="141">
        <v>0</v>
      </c>
      <c r="G33" s="12" t="s">
        <v>572</v>
      </c>
      <c r="H33" s="8">
        <v>79</v>
      </c>
      <c r="I33" s="8">
        <v>84</v>
      </c>
      <c r="J33" s="8">
        <v>74</v>
      </c>
      <c r="K33" s="8">
        <v>94</v>
      </c>
      <c r="L33" s="8">
        <v>84</v>
      </c>
      <c r="M33" s="8">
        <v>108</v>
      </c>
      <c r="N33" s="8">
        <v>91</v>
      </c>
      <c r="O33" s="8">
        <v>96</v>
      </c>
      <c r="P33" s="8">
        <v>91</v>
      </c>
      <c r="Q33" s="158">
        <v>0.93</v>
      </c>
      <c r="R33" s="159" t="s">
        <v>68</v>
      </c>
    </row>
    <row r="34" spans="1:18" x14ac:dyDescent="0.35">
      <c r="A34" s="51" t="s">
        <v>28</v>
      </c>
      <c r="B34" s="2" t="s">
        <v>1</v>
      </c>
      <c r="C34" s="72">
        <v>0</v>
      </c>
      <c r="D34" s="72">
        <v>57.1</v>
      </c>
      <c r="E34" s="83">
        <v>-32</v>
      </c>
      <c r="F34" s="12" t="s">
        <v>496</v>
      </c>
      <c r="G34" s="12">
        <v>-28.699999999999996</v>
      </c>
      <c r="H34" s="5">
        <v>89</v>
      </c>
      <c r="I34" s="5">
        <v>106</v>
      </c>
      <c r="J34" s="5">
        <v>76</v>
      </c>
      <c r="K34" s="5">
        <v>100</v>
      </c>
      <c r="L34" s="5">
        <v>84</v>
      </c>
      <c r="M34" s="5">
        <v>97</v>
      </c>
      <c r="N34" s="5">
        <v>97</v>
      </c>
      <c r="O34" s="5">
        <v>98</v>
      </c>
      <c r="P34" s="5">
        <v>109</v>
      </c>
      <c r="Q34" s="128" t="s">
        <v>68</v>
      </c>
      <c r="R34" s="128" t="s">
        <v>68</v>
      </c>
    </row>
    <row r="35" spans="1:18" ht="15" thickBot="1" x14ac:dyDescent="0.4">
      <c r="A35" s="1" t="s">
        <v>6</v>
      </c>
      <c r="B35" s="2" t="s">
        <v>1</v>
      </c>
      <c r="C35" s="8">
        <v>0</v>
      </c>
      <c r="D35" s="8">
        <v>168</v>
      </c>
      <c r="E35" s="5">
        <v>-74.2</v>
      </c>
      <c r="F35" s="12" t="s">
        <v>386</v>
      </c>
      <c r="G35" s="12">
        <v>0</v>
      </c>
      <c r="H35" s="5">
        <v>96</v>
      </c>
      <c r="I35" s="8">
        <v>98</v>
      </c>
      <c r="J35" s="8">
        <v>100</v>
      </c>
      <c r="K35" s="8">
        <v>91</v>
      </c>
      <c r="L35" s="8">
        <v>94</v>
      </c>
      <c r="M35" s="8">
        <v>105</v>
      </c>
      <c r="N35" s="8">
        <v>123</v>
      </c>
      <c r="O35" s="8">
        <v>101</v>
      </c>
      <c r="P35" s="8">
        <v>115</v>
      </c>
      <c r="Q35" s="126" t="s">
        <v>553</v>
      </c>
      <c r="R35" s="126" t="s">
        <v>554</v>
      </c>
    </row>
    <row r="36" spans="1:18" x14ac:dyDescent="0.35">
      <c r="A36" s="51" t="s">
        <v>7</v>
      </c>
      <c r="B36" s="2" t="s">
        <v>1</v>
      </c>
      <c r="C36" s="8">
        <v>-54.1</v>
      </c>
      <c r="D36" s="8">
        <v>78.099999999999994</v>
      </c>
      <c r="E36" s="5">
        <v>-128</v>
      </c>
      <c r="F36" s="12" t="s">
        <v>392</v>
      </c>
      <c r="G36" s="12">
        <v>0</v>
      </c>
      <c r="H36" s="8">
        <v>122</v>
      </c>
      <c r="I36" s="8">
        <v>116</v>
      </c>
      <c r="J36" s="8">
        <v>124</v>
      </c>
      <c r="K36" s="8">
        <v>120</v>
      </c>
      <c r="L36" s="8">
        <v>105</v>
      </c>
      <c r="M36" s="8">
        <v>105</v>
      </c>
      <c r="N36" s="8">
        <v>103</v>
      </c>
      <c r="O36" s="8">
        <v>104</v>
      </c>
      <c r="P36" s="8">
        <v>103</v>
      </c>
      <c r="Q36" s="128" t="s">
        <v>68</v>
      </c>
      <c r="R36" s="128" t="s">
        <v>68</v>
      </c>
    </row>
    <row r="37" spans="1:18" x14ac:dyDescent="0.35">
      <c r="A37" s="51" t="s">
        <v>15</v>
      </c>
      <c r="B37" s="2" t="s">
        <v>1</v>
      </c>
      <c r="C37" s="8">
        <v>0</v>
      </c>
      <c r="D37" s="8">
        <v>176.8</v>
      </c>
      <c r="E37" s="5">
        <v>-140.5</v>
      </c>
      <c r="F37" s="12" t="s">
        <v>572</v>
      </c>
      <c r="G37" s="12" t="s">
        <v>572</v>
      </c>
      <c r="H37" s="8">
        <v>106</v>
      </c>
      <c r="I37" s="8">
        <v>106</v>
      </c>
      <c r="J37" s="8">
        <v>110</v>
      </c>
      <c r="K37" s="8">
        <v>100</v>
      </c>
      <c r="L37" s="8">
        <v>102</v>
      </c>
      <c r="M37" s="8">
        <v>99</v>
      </c>
      <c r="N37" s="8">
        <v>88</v>
      </c>
      <c r="O37" s="8">
        <v>96</v>
      </c>
      <c r="P37" s="8">
        <v>88</v>
      </c>
      <c r="Q37" s="134">
        <v>0.98</v>
      </c>
      <c r="R37" s="129" t="s">
        <v>560</v>
      </c>
    </row>
    <row r="38" spans="1:18" x14ac:dyDescent="0.35">
      <c r="A38" s="51" t="s">
        <v>75</v>
      </c>
      <c r="B38" s="2" t="s">
        <v>1</v>
      </c>
      <c r="C38" s="8">
        <v>-103.5</v>
      </c>
      <c r="D38" s="8">
        <v>184.6</v>
      </c>
      <c r="E38" s="5">
        <v>-62.4</v>
      </c>
      <c r="F38" s="12" t="s">
        <v>397</v>
      </c>
      <c r="G38" s="12" t="s">
        <v>572</v>
      </c>
      <c r="H38" s="5">
        <v>50</v>
      </c>
      <c r="I38" s="5">
        <v>63</v>
      </c>
      <c r="J38" s="5">
        <v>64</v>
      </c>
      <c r="K38" s="5">
        <v>55</v>
      </c>
      <c r="L38" s="5">
        <v>55</v>
      </c>
      <c r="M38" s="5">
        <v>89</v>
      </c>
      <c r="N38" s="5">
        <v>100</v>
      </c>
      <c r="O38" s="5">
        <v>84</v>
      </c>
      <c r="P38" s="5">
        <v>100</v>
      </c>
      <c r="Q38" s="129" t="s">
        <v>68</v>
      </c>
      <c r="R38" s="129" t="s">
        <v>68</v>
      </c>
    </row>
    <row r="39" spans="1:18" x14ac:dyDescent="0.35">
      <c r="A39" s="51" t="s">
        <v>16</v>
      </c>
      <c r="B39" s="2" t="s">
        <v>1</v>
      </c>
      <c r="C39" s="8">
        <v>-58.6</v>
      </c>
      <c r="D39" s="8">
        <v>82.9</v>
      </c>
      <c r="E39" s="5">
        <v>0</v>
      </c>
      <c r="F39" s="12" t="s">
        <v>402</v>
      </c>
      <c r="G39" s="12" t="s">
        <v>572</v>
      </c>
      <c r="H39" s="8">
        <v>103</v>
      </c>
      <c r="I39" s="8">
        <v>104</v>
      </c>
      <c r="J39" s="8">
        <v>106</v>
      </c>
      <c r="K39" s="8">
        <v>103</v>
      </c>
      <c r="L39" s="8">
        <v>94</v>
      </c>
      <c r="M39" s="8">
        <v>102</v>
      </c>
      <c r="N39" s="8">
        <v>103</v>
      </c>
      <c r="O39" s="8">
        <v>98</v>
      </c>
      <c r="P39" s="8">
        <v>97</v>
      </c>
      <c r="Q39" s="134">
        <v>0.98</v>
      </c>
      <c r="R39" s="129" t="s">
        <v>561</v>
      </c>
    </row>
    <row r="40" spans="1:18" x14ac:dyDescent="0.35">
      <c r="A40" s="51" t="s">
        <v>78</v>
      </c>
      <c r="B40" s="2" t="s">
        <v>1</v>
      </c>
      <c r="C40" s="8">
        <v>0</v>
      </c>
      <c r="D40" s="8">
        <v>48.8</v>
      </c>
      <c r="E40" s="5">
        <v>-11.2</v>
      </c>
      <c r="F40" s="12" t="s">
        <v>572</v>
      </c>
      <c r="G40" s="12" t="s">
        <v>572</v>
      </c>
      <c r="H40" s="5">
        <v>73</v>
      </c>
      <c r="I40" s="5">
        <v>75</v>
      </c>
      <c r="J40" s="5">
        <v>82</v>
      </c>
      <c r="K40" s="5">
        <v>71</v>
      </c>
      <c r="L40" s="5">
        <v>86</v>
      </c>
      <c r="M40" s="5">
        <v>94</v>
      </c>
      <c r="N40" s="5">
        <v>97</v>
      </c>
      <c r="O40" s="5">
        <v>96</v>
      </c>
      <c r="P40" s="5">
        <v>100</v>
      </c>
      <c r="Q40" s="129" t="s">
        <v>68</v>
      </c>
      <c r="R40" s="129" t="s">
        <v>562</v>
      </c>
    </row>
    <row r="41" spans="1:18" x14ac:dyDescent="0.35">
      <c r="A41" s="51" t="s">
        <v>19</v>
      </c>
      <c r="B41" s="2" t="s">
        <v>1</v>
      </c>
      <c r="C41" s="8">
        <v>-143.4</v>
      </c>
      <c r="D41" s="8">
        <v>73.400000000000006</v>
      </c>
      <c r="E41" s="5">
        <v>-49.2</v>
      </c>
      <c r="F41" s="12" t="s">
        <v>572</v>
      </c>
      <c r="G41" s="12" t="s">
        <v>572</v>
      </c>
      <c r="H41" s="8">
        <v>93</v>
      </c>
      <c r="I41" s="8">
        <v>94</v>
      </c>
      <c r="J41" s="8">
        <v>92</v>
      </c>
      <c r="K41" s="8">
        <v>83</v>
      </c>
      <c r="L41" s="8">
        <v>100</v>
      </c>
      <c r="M41" s="8">
        <v>79</v>
      </c>
      <c r="N41" s="8">
        <v>94</v>
      </c>
      <c r="O41" s="8">
        <v>84</v>
      </c>
      <c r="P41" s="8">
        <v>100</v>
      </c>
      <c r="Q41" s="129" t="s">
        <v>68</v>
      </c>
      <c r="R41" s="129" t="s">
        <v>563</v>
      </c>
    </row>
    <row r="42" spans="1:18" x14ac:dyDescent="0.35">
      <c r="A42" s="51" t="s">
        <v>20</v>
      </c>
      <c r="B42" s="2" t="s">
        <v>1</v>
      </c>
      <c r="C42" s="8">
        <v>-125.1</v>
      </c>
      <c r="D42" s="8">
        <v>79.3</v>
      </c>
      <c r="E42" s="5">
        <v>-132.19999999999999</v>
      </c>
      <c r="F42" s="41" t="s">
        <v>68</v>
      </c>
      <c r="G42" s="41" t="s">
        <v>68</v>
      </c>
      <c r="H42" s="8">
        <v>92</v>
      </c>
      <c r="I42" s="8">
        <v>104</v>
      </c>
      <c r="J42" s="8">
        <v>80</v>
      </c>
      <c r="K42" s="8">
        <v>85</v>
      </c>
      <c r="L42" s="8">
        <v>108</v>
      </c>
      <c r="M42" s="8">
        <v>94</v>
      </c>
      <c r="N42" s="8">
        <v>79</v>
      </c>
      <c r="O42" s="8">
        <v>96</v>
      </c>
      <c r="P42" s="8">
        <v>100</v>
      </c>
      <c r="Q42" s="129" t="s">
        <v>68</v>
      </c>
      <c r="R42" s="129" t="s">
        <v>68</v>
      </c>
    </row>
    <row r="43" spans="1:18" x14ac:dyDescent="0.35">
      <c r="A43" s="51" t="s">
        <v>21</v>
      </c>
      <c r="B43" s="2" t="s">
        <v>1</v>
      </c>
      <c r="C43" s="8">
        <v>-28.8</v>
      </c>
      <c r="D43" s="8">
        <v>79.7</v>
      </c>
      <c r="E43" s="5">
        <v>-17.600000000000001</v>
      </c>
      <c r="F43" s="41" t="s">
        <v>68</v>
      </c>
      <c r="G43" s="41" t="s">
        <v>68</v>
      </c>
      <c r="H43" s="8">
        <v>92</v>
      </c>
      <c r="I43" s="8">
        <v>104</v>
      </c>
      <c r="J43" s="8">
        <v>80</v>
      </c>
      <c r="K43" s="8">
        <v>85</v>
      </c>
      <c r="L43" s="8">
        <v>108</v>
      </c>
      <c r="M43" s="8">
        <v>94</v>
      </c>
      <c r="N43" s="8">
        <v>79</v>
      </c>
      <c r="O43" s="8">
        <v>96</v>
      </c>
      <c r="P43" s="8">
        <v>100</v>
      </c>
      <c r="Q43" s="129" t="s">
        <v>68</v>
      </c>
      <c r="R43" s="129" t="s">
        <v>68</v>
      </c>
    </row>
    <row r="44" spans="1:18" x14ac:dyDescent="0.35">
      <c r="A44" s="51" t="s">
        <v>32</v>
      </c>
      <c r="B44" s="2" t="s">
        <v>1</v>
      </c>
      <c r="C44" s="8">
        <v>-111.2</v>
      </c>
      <c r="D44" s="8">
        <v>152.4</v>
      </c>
      <c r="E44" s="5">
        <v>-74.099999999999994</v>
      </c>
      <c r="F44" s="12" t="s">
        <v>163</v>
      </c>
      <c r="G44" s="12">
        <v>0</v>
      </c>
      <c r="H44" s="8">
        <v>137</v>
      </c>
      <c r="I44" s="8">
        <v>139</v>
      </c>
      <c r="J44" s="8">
        <v>128</v>
      </c>
      <c r="K44" s="8">
        <v>112</v>
      </c>
      <c r="L44" s="8">
        <v>137</v>
      </c>
      <c r="M44" s="8">
        <v>136</v>
      </c>
      <c r="N44" s="8">
        <v>115</v>
      </c>
      <c r="O44" s="8">
        <v>132</v>
      </c>
      <c r="P44" s="8">
        <v>118</v>
      </c>
      <c r="Q44" s="129" t="s">
        <v>68</v>
      </c>
      <c r="R44" s="129" t="s">
        <v>68</v>
      </c>
    </row>
    <row r="45" spans="1:18" x14ac:dyDescent="0.35">
      <c r="A45" s="51" t="s">
        <v>83</v>
      </c>
      <c r="B45" s="2" t="s">
        <v>1</v>
      </c>
      <c r="C45" s="8">
        <v>-41.9</v>
      </c>
      <c r="D45" s="8">
        <v>80.099999999999994</v>
      </c>
      <c r="E45" s="5">
        <v>-52.7</v>
      </c>
      <c r="F45" s="12" t="s">
        <v>412</v>
      </c>
      <c r="G45" s="12">
        <v>10.700000000000003</v>
      </c>
      <c r="H45" s="8">
        <v>104</v>
      </c>
      <c r="I45" s="8">
        <v>110</v>
      </c>
      <c r="J45" s="8">
        <v>106</v>
      </c>
      <c r="K45" s="8">
        <v>91</v>
      </c>
      <c r="L45" s="8">
        <v>102</v>
      </c>
      <c r="M45" s="8">
        <v>114</v>
      </c>
      <c r="N45" s="8">
        <v>109</v>
      </c>
      <c r="O45" s="8">
        <v>119</v>
      </c>
      <c r="P45" s="8">
        <v>109</v>
      </c>
      <c r="Q45" s="134">
        <v>1</v>
      </c>
      <c r="R45" s="129" t="s">
        <v>564</v>
      </c>
    </row>
    <row r="46" spans="1:18" x14ac:dyDescent="0.35">
      <c r="A46" s="51" t="s">
        <v>34</v>
      </c>
      <c r="B46" s="2" t="s">
        <v>1</v>
      </c>
      <c r="C46" s="8">
        <v>-165.8</v>
      </c>
      <c r="D46" s="8">
        <v>86.2</v>
      </c>
      <c r="E46" s="5">
        <v>-20.100000000000001</v>
      </c>
      <c r="F46" s="12" t="s">
        <v>572</v>
      </c>
      <c r="G46" s="12">
        <v>0</v>
      </c>
      <c r="H46" s="8">
        <v>99</v>
      </c>
      <c r="I46" s="8">
        <v>86</v>
      </c>
      <c r="J46" s="8">
        <v>110</v>
      </c>
      <c r="K46" s="8">
        <v>85</v>
      </c>
      <c r="L46" s="8">
        <v>117</v>
      </c>
      <c r="M46" s="8">
        <v>114</v>
      </c>
      <c r="N46" s="8">
        <v>126</v>
      </c>
      <c r="O46" s="8">
        <v>107</v>
      </c>
      <c r="P46" s="8">
        <v>121</v>
      </c>
      <c r="Q46" s="126" t="s">
        <v>558</v>
      </c>
      <c r="R46" s="126" t="s">
        <v>565</v>
      </c>
    </row>
    <row r="47" spans="1:18" x14ac:dyDescent="0.35">
      <c r="A47" s="51" t="s">
        <v>88</v>
      </c>
      <c r="B47" s="2" t="s">
        <v>1</v>
      </c>
      <c r="C47" s="8">
        <v>-249.8</v>
      </c>
      <c r="D47" s="8">
        <v>107.3</v>
      </c>
      <c r="E47" s="5">
        <v>-80.3</v>
      </c>
      <c r="F47" s="12" t="s">
        <v>572</v>
      </c>
      <c r="G47" s="12" t="s">
        <v>572</v>
      </c>
      <c r="H47" s="8">
        <v>78</v>
      </c>
      <c r="I47" s="8">
        <v>88</v>
      </c>
      <c r="J47" s="8">
        <v>88</v>
      </c>
      <c r="K47" s="8">
        <v>83</v>
      </c>
      <c r="L47" s="8">
        <v>66</v>
      </c>
      <c r="M47" s="8">
        <v>94</v>
      </c>
      <c r="N47" s="8">
        <v>100</v>
      </c>
      <c r="O47" s="8">
        <v>94</v>
      </c>
      <c r="P47" s="8">
        <v>97</v>
      </c>
      <c r="Q47" s="129" t="s">
        <v>68</v>
      </c>
      <c r="R47" s="129" t="s">
        <v>68</v>
      </c>
    </row>
    <row r="48" spans="1:18" x14ac:dyDescent="0.35">
      <c r="A48" s="51" t="s">
        <v>89</v>
      </c>
      <c r="B48" s="2" t="s">
        <v>1</v>
      </c>
      <c r="C48" s="8">
        <v>-144.1</v>
      </c>
      <c r="D48" s="8">
        <v>91.4</v>
      </c>
      <c r="E48" s="5">
        <v>-69.3</v>
      </c>
      <c r="F48" s="41" t="s">
        <v>68</v>
      </c>
      <c r="G48" s="41" t="s">
        <v>68</v>
      </c>
      <c r="H48" s="8">
        <v>78</v>
      </c>
      <c r="I48" s="8">
        <v>88</v>
      </c>
      <c r="J48" s="8">
        <v>88</v>
      </c>
      <c r="K48" s="8">
        <v>83</v>
      </c>
      <c r="L48" s="8">
        <v>66</v>
      </c>
      <c r="M48" s="8">
        <v>94</v>
      </c>
      <c r="N48" s="8">
        <v>100</v>
      </c>
      <c r="O48" s="8">
        <v>94</v>
      </c>
      <c r="P48" s="8">
        <v>97</v>
      </c>
      <c r="Q48" s="129" t="s">
        <v>68</v>
      </c>
      <c r="R48" s="129" t="s">
        <v>68</v>
      </c>
    </row>
    <row r="49" spans="1:18" x14ac:dyDescent="0.35">
      <c r="A49" s="51" t="s">
        <v>36</v>
      </c>
      <c r="B49" s="2" t="s">
        <v>1</v>
      </c>
      <c r="C49" s="8">
        <v>-90.9</v>
      </c>
      <c r="D49" s="8">
        <v>80.599999999999994</v>
      </c>
      <c r="E49" s="5">
        <v>-62.6</v>
      </c>
      <c r="F49" s="12" t="s">
        <v>419</v>
      </c>
      <c r="G49" s="12">
        <v>0</v>
      </c>
      <c r="H49" s="8">
        <v>61</v>
      </c>
      <c r="I49" s="8">
        <v>61</v>
      </c>
      <c r="J49" s="8">
        <v>78</v>
      </c>
      <c r="K49" s="8">
        <v>63</v>
      </c>
      <c r="L49" s="8">
        <v>72</v>
      </c>
      <c r="M49" s="8">
        <v>70</v>
      </c>
      <c r="N49" s="8">
        <v>71</v>
      </c>
      <c r="O49" s="8">
        <v>74</v>
      </c>
      <c r="P49" s="8">
        <v>60</v>
      </c>
      <c r="Q49" s="134">
        <v>0.94</v>
      </c>
      <c r="R49" s="129" t="s">
        <v>566</v>
      </c>
    </row>
    <row r="50" spans="1:18" x14ac:dyDescent="0.35">
      <c r="A50" s="51" t="s">
        <v>24</v>
      </c>
      <c r="B50" s="2" t="s">
        <v>1</v>
      </c>
      <c r="C50" s="8">
        <v>0</v>
      </c>
      <c r="D50" s="8">
        <v>157.9</v>
      </c>
      <c r="E50" s="5">
        <v>-39.700000000000003</v>
      </c>
      <c r="F50" s="12" t="s">
        <v>398</v>
      </c>
      <c r="G50" s="12">
        <v>0</v>
      </c>
      <c r="H50" s="8">
        <v>87</v>
      </c>
      <c r="I50" s="8">
        <v>92</v>
      </c>
      <c r="J50" s="8">
        <v>85</v>
      </c>
      <c r="K50" s="8">
        <v>97</v>
      </c>
      <c r="L50" s="8">
        <v>88</v>
      </c>
      <c r="M50" s="8">
        <v>94</v>
      </c>
      <c r="N50" s="8">
        <v>109</v>
      </c>
      <c r="O50" s="8">
        <v>96</v>
      </c>
      <c r="P50" s="8">
        <v>112</v>
      </c>
      <c r="Q50" s="129" t="s">
        <v>68</v>
      </c>
      <c r="R50" s="129" t="s">
        <v>68</v>
      </c>
    </row>
    <row r="51" spans="1:18" x14ac:dyDescent="0.35">
      <c r="A51" s="51" t="s">
        <v>95</v>
      </c>
      <c r="B51" s="2" t="s">
        <v>1</v>
      </c>
      <c r="C51" s="8">
        <v>-50.8</v>
      </c>
      <c r="D51" s="8">
        <v>53</v>
      </c>
      <c r="E51" s="5">
        <v>-82.5</v>
      </c>
      <c r="F51" s="12" t="s">
        <v>423</v>
      </c>
      <c r="G51" s="12">
        <v>-5</v>
      </c>
      <c r="H51" s="8">
        <v>60</v>
      </c>
      <c r="I51" s="8">
        <v>94</v>
      </c>
      <c r="J51" s="8">
        <v>64</v>
      </c>
      <c r="K51" s="8">
        <v>52</v>
      </c>
      <c r="L51" s="8">
        <v>50</v>
      </c>
      <c r="M51" s="8">
        <v>72</v>
      </c>
      <c r="N51" s="8">
        <v>74</v>
      </c>
      <c r="O51" s="8">
        <v>74</v>
      </c>
      <c r="P51" s="8">
        <v>72</v>
      </c>
      <c r="Q51" s="129" t="s">
        <v>68</v>
      </c>
      <c r="R51" s="129" t="s">
        <v>68</v>
      </c>
    </row>
    <row r="52" spans="1:18" x14ac:dyDescent="0.35">
      <c r="A52" s="51" t="s">
        <v>96</v>
      </c>
      <c r="B52" s="2" t="s">
        <v>1</v>
      </c>
      <c r="C52" s="8">
        <v>-47.7</v>
      </c>
      <c r="D52" s="8">
        <v>165.1</v>
      </c>
      <c r="E52" s="5">
        <v>-55.4</v>
      </c>
      <c r="F52" s="41" t="s">
        <v>68</v>
      </c>
      <c r="G52" s="41" t="s">
        <v>68</v>
      </c>
      <c r="H52" s="8">
        <v>60</v>
      </c>
      <c r="I52" s="8">
        <v>94</v>
      </c>
      <c r="J52" s="8">
        <v>64</v>
      </c>
      <c r="K52" s="8">
        <v>52</v>
      </c>
      <c r="L52" s="8">
        <v>50</v>
      </c>
      <c r="M52" s="8">
        <v>72</v>
      </c>
      <c r="N52" s="8">
        <v>74</v>
      </c>
      <c r="O52" s="8">
        <v>74</v>
      </c>
      <c r="P52" s="8">
        <v>72</v>
      </c>
      <c r="Q52" s="129" t="s">
        <v>68</v>
      </c>
      <c r="R52" s="129" t="s">
        <v>68</v>
      </c>
    </row>
    <row r="53" spans="1:18" x14ac:dyDescent="0.35">
      <c r="A53" s="51" t="s">
        <v>99</v>
      </c>
      <c r="B53" s="2" t="s">
        <v>1</v>
      </c>
      <c r="C53" s="8">
        <v>-213</v>
      </c>
      <c r="D53" s="8">
        <v>180.4</v>
      </c>
      <c r="E53" s="5">
        <v>-276.39999999999998</v>
      </c>
      <c r="F53" s="12" t="s">
        <v>572</v>
      </c>
      <c r="G53" s="12">
        <v>0</v>
      </c>
      <c r="H53" s="5" t="s">
        <v>68</v>
      </c>
      <c r="I53" s="5">
        <v>126</v>
      </c>
      <c r="J53" s="5">
        <v>107</v>
      </c>
      <c r="K53" s="5">
        <v>103</v>
      </c>
      <c r="L53" s="5">
        <v>103</v>
      </c>
      <c r="M53" s="5">
        <v>138</v>
      </c>
      <c r="N53" s="5">
        <v>129</v>
      </c>
      <c r="O53" s="5">
        <v>123</v>
      </c>
      <c r="P53" s="5">
        <v>121</v>
      </c>
      <c r="Q53" s="129" t="s">
        <v>68</v>
      </c>
      <c r="R53" s="129" t="s">
        <v>68</v>
      </c>
    </row>
    <row r="54" spans="1:18" x14ac:dyDescent="0.35">
      <c r="A54" s="51" t="s">
        <v>62</v>
      </c>
      <c r="B54" s="2" t="s">
        <v>1</v>
      </c>
      <c r="C54" s="8">
        <v>0</v>
      </c>
      <c r="D54" s="8">
        <v>41.8</v>
      </c>
      <c r="E54" s="5">
        <v>-36.6</v>
      </c>
      <c r="F54" s="12" t="s">
        <v>428</v>
      </c>
      <c r="G54" s="12">
        <v>5.7999999999999972</v>
      </c>
      <c r="H54" s="5">
        <v>97</v>
      </c>
      <c r="I54" s="5">
        <v>112</v>
      </c>
      <c r="J54" s="5">
        <v>82</v>
      </c>
      <c r="K54" s="5">
        <v>85</v>
      </c>
      <c r="L54" s="5">
        <v>97</v>
      </c>
      <c r="M54" s="5">
        <v>124</v>
      </c>
      <c r="N54" s="5">
        <v>118</v>
      </c>
      <c r="O54" s="5">
        <v>123</v>
      </c>
      <c r="P54" s="5">
        <v>118</v>
      </c>
      <c r="Q54" s="129" t="s">
        <v>68</v>
      </c>
      <c r="R54" s="129" t="s">
        <v>68</v>
      </c>
    </row>
    <row r="55" spans="1:18" x14ac:dyDescent="0.35">
      <c r="A55" s="51" t="s">
        <v>102</v>
      </c>
      <c r="B55" s="2" t="s">
        <v>1</v>
      </c>
      <c r="C55" s="8">
        <v>-108.4</v>
      </c>
      <c r="D55" s="8">
        <v>180.3</v>
      </c>
      <c r="E55" s="5">
        <v>-74</v>
      </c>
      <c r="F55" s="12" t="s">
        <v>437</v>
      </c>
      <c r="G55" s="12">
        <v>8.3000000000000114</v>
      </c>
      <c r="H55" s="62">
        <v>76</v>
      </c>
      <c r="I55" s="62">
        <v>84</v>
      </c>
      <c r="J55" s="62">
        <v>76</v>
      </c>
      <c r="K55" s="62">
        <v>74</v>
      </c>
      <c r="L55" s="62">
        <v>89</v>
      </c>
      <c r="M55" s="8">
        <v>94</v>
      </c>
      <c r="N55" s="8">
        <v>103</v>
      </c>
      <c r="O55" s="8">
        <v>89</v>
      </c>
      <c r="P55" s="8">
        <v>97</v>
      </c>
      <c r="Q55" s="129" t="s">
        <v>68</v>
      </c>
      <c r="R55" s="129" t="s">
        <v>68</v>
      </c>
    </row>
    <row r="56" spans="1:18" x14ac:dyDescent="0.35">
      <c r="A56" s="51" t="s">
        <v>64</v>
      </c>
      <c r="B56" s="2" t="s">
        <v>1</v>
      </c>
      <c r="C56" s="8">
        <v>-51.8</v>
      </c>
      <c r="D56" s="8">
        <v>-80.5</v>
      </c>
      <c r="E56" s="5">
        <v>44.4</v>
      </c>
      <c r="F56" s="12" t="s">
        <v>572</v>
      </c>
      <c r="G56" s="12">
        <v>10.200000000000003</v>
      </c>
      <c r="H56" s="8">
        <v>73</v>
      </c>
      <c r="I56" s="8">
        <v>84</v>
      </c>
      <c r="J56" s="8">
        <v>68</v>
      </c>
      <c r="K56" s="8">
        <v>86</v>
      </c>
      <c r="L56" s="8">
        <v>69</v>
      </c>
      <c r="M56" s="8">
        <v>111</v>
      </c>
      <c r="N56" s="8">
        <v>91</v>
      </c>
      <c r="O56" s="8">
        <v>107</v>
      </c>
      <c r="P56" s="8">
        <v>103</v>
      </c>
      <c r="Q56" s="129" t="s">
        <v>68</v>
      </c>
      <c r="R56" s="129" t="s">
        <v>68</v>
      </c>
    </row>
    <row r="57" spans="1:18" x14ac:dyDescent="0.35">
      <c r="A57" s="51" t="s">
        <v>105</v>
      </c>
      <c r="B57" s="2" t="s">
        <v>1</v>
      </c>
      <c r="C57" s="8">
        <v>0</v>
      </c>
      <c r="D57" s="8">
        <v>0</v>
      </c>
      <c r="E57" s="5">
        <v>-66.5</v>
      </c>
      <c r="F57" s="12" t="s">
        <v>138</v>
      </c>
      <c r="G57" s="12">
        <v>0</v>
      </c>
      <c r="H57" s="8">
        <v>100</v>
      </c>
      <c r="I57" s="8">
        <v>122</v>
      </c>
      <c r="J57" s="8">
        <v>80</v>
      </c>
      <c r="K57" s="8">
        <v>109</v>
      </c>
      <c r="L57" s="8">
        <v>89</v>
      </c>
      <c r="M57" s="8">
        <v>94</v>
      </c>
      <c r="N57" s="8">
        <v>94</v>
      </c>
      <c r="O57" s="8">
        <v>104</v>
      </c>
      <c r="P57" s="8">
        <v>94</v>
      </c>
      <c r="Q57" s="134">
        <v>1</v>
      </c>
      <c r="R57" s="129" t="s">
        <v>568</v>
      </c>
    </row>
    <row r="58" spans="1:18" x14ac:dyDescent="0.35">
      <c r="A58" s="51" t="s">
        <v>27</v>
      </c>
      <c r="B58" s="2" t="s">
        <v>1</v>
      </c>
      <c r="C58" s="8">
        <v>-131.5</v>
      </c>
      <c r="D58" s="8">
        <v>115.2</v>
      </c>
      <c r="E58" s="5">
        <v>-170.2</v>
      </c>
      <c r="F58" s="12" t="s">
        <v>448</v>
      </c>
      <c r="G58" s="12">
        <v>-3.7999999999999989</v>
      </c>
      <c r="H58" s="8">
        <v>93</v>
      </c>
      <c r="I58" s="8">
        <v>84</v>
      </c>
      <c r="J58" s="8">
        <v>98</v>
      </c>
      <c r="K58" s="8">
        <v>88</v>
      </c>
      <c r="L58" s="8">
        <v>89</v>
      </c>
      <c r="M58" s="8">
        <v>94</v>
      </c>
      <c r="N58" s="53">
        <v>100</v>
      </c>
      <c r="O58" s="53">
        <v>101</v>
      </c>
      <c r="P58" s="53">
        <v>100</v>
      </c>
      <c r="Q58" s="129" t="s">
        <v>68</v>
      </c>
      <c r="R58" s="129" t="s">
        <v>68</v>
      </c>
    </row>
    <row r="59" spans="1:18" x14ac:dyDescent="0.35">
      <c r="A59" s="51" t="s">
        <v>109</v>
      </c>
      <c r="B59" s="2" t="s">
        <v>1</v>
      </c>
      <c r="C59" s="8">
        <v>0</v>
      </c>
      <c r="D59" s="8">
        <v>27</v>
      </c>
      <c r="E59" s="5">
        <v>0</v>
      </c>
      <c r="F59" s="12" t="s">
        <v>461</v>
      </c>
      <c r="G59" s="12">
        <v>14</v>
      </c>
      <c r="H59" s="5" t="s">
        <v>68</v>
      </c>
      <c r="I59" s="5">
        <v>126</v>
      </c>
      <c r="J59" s="5">
        <v>74</v>
      </c>
      <c r="K59" s="5">
        <v>103</v>
      </c>
      <c r="L59" s="5">
        <v>84</v>
      </c>
      <c r="M59" s="5">
        <v>82</v>
      </c>
      <c r="N59" s="5">
        <v>94</v>
      </c>
      <c r="O59" s="5">
        <v>86</v>
      </c>
      <c r="P59" s="5">
        <v>94</v>
      </c>
      <c r="Q59" s="134">
        <v>1</v>
      </c>
      <c r="R59" s="129" t="s">
        <v>570</v>
      </c>
    </row>
    <row r="60" spans="1:18" ht="15" thickBot="1" x14ac:dyDescent="0.4">
      <c r="A60" s="51" t="s">
        <v>111</v>
      </c>
      <c r="B60" s="2" t="s">
        <v>1</v>
      </c>
      <c r="C60" s="75">
        <v>-57</v>
      </c>
      <c r="D60" s="75">
        <v>-36.299999999999997</v>
      </c>
      <c r="E60" s="87">
        <v>32.799999999999997</v>
      </c>
      <c r="F60" s="5" t="s">
        <v>68</v>
      </c>
      <c r="G60" s="5" t="s">
        <v>68</v>
      </c>
      <c r="H60" s="8">
        <v>79</v>
      </c>
      <c r="I60" s="8">
        <v>84</v>
      </c>
      <c r="J60" s="8">
        <v>74</v>
      </c>
      <c r="K60" s="8">
        <v>94</v>
      </c>
      <c r="L60" s="8">
        <v>84</v>
      </c>
      <c r="M60" s="8">
        <v>108</v>
      </c>
      <c r="N60" s="8">
        <v>91</v>
      </c>
      <c r="O60" s="8">
        <v>96</v>
      </c>
      <c r="P60" s="8">
        <v>91</v>
      </c>
      <c r="Q60" s="158">
        <v>0.93</v>
      </c>
      <c r="R60" s="159" t="s">
        <v>68</v>
      </c>
    </row>
    <row r="61" spans="1:18" x14ac:dyDescent="0.35">
      <c r="A61" s="51" t="s">
        <v>11</v>
      </c>
      <c r="B61" s="2" t="s">
        <v>1</v>
      </c>
      <c r="C61" s="5">
        <v>54.9</v>
      </c>
      <c r="D61" s="5">
        <v>-20.100000000000001</v>
      </c>
      <c r="E61" s="5">
        <v>46.7</v>
      </c>
      <c r="F61" s="5">
        <v>-20.6</v>
      </c>
      <c r="G61" s="5">
        <v>-2.3000000000000043</v>
      </c>
      <c r="H61" s="8">
        <v>100</v>
      </c>
      <c r="I61" s="8">
        <v>89</v>
      </c>
      <c r="J61" s="8">
        <v>105</v>
      </c>
      <c r="K61" s="8">
        <v>94</v>
      </c>
      <c r="L61" s="8">
        <v>108</v>
      </c>
      <c r="M61" s="8" t="s">
        <v>68</v>
      </c>
      <c r="N61" s="8" t="s">
        <v>68</v>
      </c>
      <c r="O61" s="8" t="s">
        <v>68</v>
      </c>
      <c r="P61" s="8" t="s">
        <v>68</v>
      </c>
      <c r="Q61" s="133">
        <v>1</v>
      </c>
      <c r="R61" s="128" t="s">
        <v>68</v>
      </c>
    </row>
    <row r="62" spans="1:18" x14ac:dyDescent="0.35">
      <c r="A62" s="51" t="s">
        <v>74</v>
      </c>
      <c r="B62" s="2" t="s">
        <v>68</v>
      </c>
      <c r="C62" s="5" t="s">
        <v>68</v>
      </c>
      <c r="D62" s="5" t="s">
        <v>68</v>
      </c>
      <c r="E62" s="5" t="s">
        <v>68</v>
      </c>
      <c r="F62" s="5">
        <v>-11.6</v>
      </c>
      <c r="G62" s="5">
        <v>7.2000000000000028</v>
      </c>
      <c r="H62" s="5">
        <v>115</v>
      </c>
      <c r="I62" s="5">
        <v>124</v>
      </c>
      <c r="J62" s="5">
        <v>106</v>
      </c>
      <c r="K62" s="5">
        <v>114</v>
      </c>
      <c r="L62" s="5">
        <v>102</v>
      </c>
      <c r="M62" s="5">
        <v>114</v>
      </c>
      <c r="N62" s="5">
        <v>106</v>
      </c>
      <c r="O62" s="5">
        <v>119</v>
      </c>
      <c r="P62" s="5">
        <v>106</v>
      </c>
      <c r="Q62" s="129" t="s">
        <v>68</v>
      </c>
      <c r="R62" s="129" t="s">
        <v>68</v>
      </c>
    </row>
    <row r="63" spans="1:18" x14ac:dyDescent="0.35">
      <c r="A63" s="165" t="s">
        <v>85</v>
      </c>
      <c r="B63" s="166" t="s">
        <v>3</v>
      </c>
      <c r="C63" s="183">
        <v>0</v>
      </c>
      <c r="D63" s="183">
        <v>50.7</v>
      </c>
      <c r="E63" s="167">
        <v>-24.6</v>
      </c>
      <c r="F63" s="167" t="s">
        <v>68</v>
      </c>
      <c r="G63" s="167" t="s">
        <v>68</v>
      </c>
      <c r="H63" s="167">
        <v>86</v>
      </c>
      <c r="I63" s="167">
        <v>92</v>
      </c>
      <c r="J63" s="167">
        <v>94</v>
      </c>
      <c r="K63" s="167">
        <v>77</v>
      </c>
      <c r="L63" s="167">
        <v>89</v>
      </c>
      <c r="M63" s="167">
        <v>94</v>
      </c>
      <c r="N63" s="167">
        <v>91</v>
      </c>
      <c r="O63" s="167">
        <v>91</v>
      </c>
      <c r="P63" s="167">
        <v>91</v>
      </c>
      <c r="Q63" s="129" t="s">
        <v>68</v>
      </c>
      <c r="R63" s="129" t="s">
        <v>68</v>
      </c>
    </row>
    <row r="64" spans="1:18" x14ac:dyDescent="0.35">
      <c r="A64" s="51" t="s">
        <v>90</v>
      </c>
      <c r="B64" s="2" t="s">
        <v>3</v>
      </c>
      <c r="C64" s="173">
        <v>-55.8</v>
      </c>
      <c r="D64" s="173">
        <v>55.9</v>
      </c>
      <c r="E64" s="176">
        <v>-32.299999999999997</v>
      </c>
      <c r="F64" s="167" t="s">
        <v>68</v>
      </c>
      <c r="G64" s="167" t="s">
        <v>68</v>
      </c>
      <c r="H64" s="5">
        <v>71</v>
      </c>
      <c r="I64" s="5">
        <v>81</v>
      </c>
      <c r="J64" s="5">
        <v>84</v>
      </c>
      <c r="K64" s="5">
        <v>74</v>
      </c>
      <c r="L64" s="5">
        <v>64</v>
      </c>
      <c r="M64" s="5">
        <v>97</v>
      </c>
      <c r="N64" s="5">
        <v>109</v>
      </c>
      <c r="O64" s="5">
        <v>93</v>
      </c>
      <c r="P64" s="5">
        <v>109</v>
      </c>
      <c r="Q64" s="129" t="s">
        <v>68</v>
      </c>
      <c r="R64" s="129" t="s">
        <v>68</v>
      </c>
    </row>
    <row r="65" spans="1:18" s="112" customFormat="1" x14ac:dyDescent="0.35">
      <c r="A65" s="51" t="s">
        <v>93</v>
      </c>
      <c r="B65" s="2" t="s">
        <v>3</v>
      </c>
      <c r="C65" s="183">
        <v>-176.7</v>
      </c>
      <c r="D65" s="183">
        <v>52.3</v>
      </c>
      <c r="E65" s="167">
        <v>-35.5</v>
      </c>
      <c r="F65" s="167" t="s">
        <v>68</v>
      </c>
      <c r="G65" s="167" t="s">
        <v>68</v>
      </c>
      <c r="H65" s="5" t="s">
        <v>68</v>
      </c>
      <c r="I65" s="5">
        <v>100</v>
      </c>
      <c r="J65" s="5">
        <v>98</v>
      </c>
      <c r="K65" s="5">
        <v>97</v>
      </c>
      <c r="L65" s="5">
        <v>97</v>
      </c>
      <c r="M65" s="5">
        <v>94</v>
      </c>
      <c r="N65" s="5">
        <v>109</v>
      </c>
      <c r="O65" s="5">
        <v>96</v>
      </c>
      <c r="P65" s="5">
        <v>112</v>
      </c>
      <c r="Q65" s="129" t="s">
        <v>68</v>
      </c>
      <c r="R65" s="129" t="s">
        <v>68</v>
      </c>
    </row>
    <row r="66" spans="1:18" x14ac:dyDescent="0.35">
      <c r="A66" s="51" t="s">
        <v>104</v>
      </c>
      <c r="B66" s="2" t="s">
        <v>3</v>
      </c>
      <c r="C66" s="183">
        <v>-48.4</v>
      </c>
      <c r="D66" s="183">
        <v>33.700000000000003</v>
      </c>
      <c r="E66" s="167">
        <v>-53.2</v>
      </c>
      <c r="F66" s="167" t="s">
        <v>68</v>
      </c>
      <c r="G66" s="167" t="s">
        <v>68</v>
      </c>
      <c r="H66" s="5">
        <v>90</v>
      </c>
      <c r="I66" s="5">
        <v>94</v>
      </c>
      <c r="J66" s="5">
        <v>70</v>
      </c>
      <c r="K66" s="5">
        <v>112</v>
      </c>
      <c r="L66" s="5">
        <v>100</v>
      </c>
      <c r="M66" s="5">
        <v>111</v>
      </c>
      <c r="N66" s="5">
        <v>91</v>
      </c>
      <c r="O66" s="5">
        <v>89</v>
      </c>
      <c r="P66" s="5">
        <v>85</v>
      </c>
      <c r="Q66" s="129" t="s">
        <v>68</v>
      </c>
      <c r="R66" s="129" t="s">
        <v>68</v>
      </c>
    </row>
    <row r="67" spans="1:18" x14ac:dyDescent="0.35">
      <c r="Q67" s="129"/>
      <c r="R67" s="129"/>
    </row>
  </sheetData>
  <conditionalFormatting sqref="A1:A61 A62:B62 A63:A1048576">
    <cfRule type="containsText" dxfId="13" priority="11" operator="containsText" text="ok">
      <formula>NOT(ISERROR(SEARCH("ok",A1)))</formula>
    </cfRule>
  </conditionalFormatting>
  <conditionalFormatting sqref="H49:O49 P59:P66">
    <cfRule type="containsText" dxfId="12" priority="8" operator="containsText" text="NI">
      <formula>NOT(ISERROR(SEARCH("NI",H49)))</formula>
    </cfRule>
  </conditionalFormatting>
  <conditionalFormatting sqref="P28:P29 P32:P33">
    <cfRule type="containsText" dxfId="11" priority="9" operator="containsText" text="NI">
      <formula>NOT(ISERROR(SEARCH("NI",P28)))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7610-0629-4CDC-BA47-01B97CCF9D98}">
  <dimension ref="A1:R20"/>
  <sheetViews>
    <sheetView workbookViewId="0">
      <selection activeCell="N6" sqref="N6"/>
    </sheetView>
  </sheetViews>
  <sheetFormatPr baseColWidth="10" defaultRowHeight="14.5" x14ac:dyDescent="0.35"/>
  <cols>
    <col min="2" max="2" width="0.81640625" customWidth="1"/>
    <col min="5" max="5" width="10.90625" customWidth="1"/>
    <col min="6" max="6" width="0.453125" customWidth="1"/>
    <col min="9" max="9" width="0.36328125" customWidth="1"/>
  </cols>
  <sheetData>
    <row r="1" spans="1:18" x14ac:dyDescent="0.35">
      <c r="A1" s="1" t="s">
        <v>9</v>
      </c>
      <c r="B1" s="3"/>
      <c r="C1" s="1" t="s">
        <v>44</v>
      </c>
      <c r="D1" s="1" t="s">
        <v>45</v>
      </c>
      <c r="E1" s="1" t="s">
        <v>177</v>
      </c>
      <c r="F1" s="3"/>
      <c r="G1" s="1" t="s">
        <v>226</v>
      </c>
      <c r="H1" s="1" t="s">
        <v>648</v>
      </c>
      <c r="I1" s="3"/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341</v>
      </c>
      <c r="O1" s="1" t="s">
        <v>343</v>
      </c>
      <c r="P1" s="1" t="s">
        <v>345</v>
      </c>
      <c r="Q1" s="1" t="s">
        <v>348</v>
      </c>
      <c r="R1" s="1" t="s">
        <v>349</v>
      </c>
    </row>
    <row r="2" spans="1:18" x14ac:dyDescent="0.35">
      <c r="A2" s="52" t="s">
        <v>2</v>
      </c>
      <c r="B2" s="4"/>
      <c r="C2" s="20" t="s">
        <v>176</v>
      </c>
      <c r="D2" s="20" t="s">
        <v>169</v>
      </c>
      <c r="E2" s="20" t="s">
        <v>259</v>
      </c>
      <c r="F2" s="6"/>
      <c r="G2" s="5" t="s">
        <v>68</v>
      </c>
      <c r="H2" s="5" t="s">
        <v>68</v>
      </c>
      <c r="I2" s="6"/>
      <c r="J2" s="5">
        <v>96</v>
      </c>
      <c r="K2" s="8">
        <v>98</v>
      </c>
      <c r="L2" s="8">
        <v>100</v>
      </c>
      <c r="M2" s="8">
        <v>91</v>
      </c>
      <c r="N2" s="8">
        <v>94</v>
      </c>
      <c r="O2" s="8">
        <v>105</v>
      </c>
      <c r="P2" s="8">
        <v>123</v>
      </c>
      <c r="Q2" s="8">
        <v>101</v>
      </c>
      <c r="R2" s="8">
        <v>115</v>
      </c>
    </row>
    <row r="3" spans="1:18" x14ac:dyDescent="0.35">
      <c r="A3" s="52" t="s">
        <v>2</v>
      </c>
      <c r="B3" s="4"/>
      <c r="C3" s="20" t="s">
        <v>172</v>
      </c>
      <c r="D3" s="20" t="s">
        <v>174</v>
      </c>
      <c r="E3" s="20" t="s">
        <v>261</v>
      </c>
      <c r="F3" s="6"/>
      <c r="G3" s="16" t="s">
        <v>572</v>
      </c>
      <c r="H3" s="16">
        <v>4.6900000000000048</v>
      </c>
      <c r="I3" s="6"/>
      <c r="J3" s="8">
        <v>122</v>
      </c>
      <c r="K3" s="8">
        <v>116</v>
      </c>
      <c r="L3" s="8">
        <v>124</v>
      </c>
      <c r="M3" s="8">
        <v>120</v>
      </c>
      <c r="N3" s="8">
        <v>105</v>
      </c>
      <c r="O3" s="8">
        <v>105</v>
      </c>
      <c r="P3" s="8">
        <v>103</v>
      </c>
      <c r="Q3" s="8">
        <v>104</v>
      </c>
      <c r="R3" s="8">
        <v>103</v>
      </c>
    </row>
    <row r="4" spans="1:18" x14ac:dyDescent="0.35">
      <c r="A4" s="52" t="s">
        <v>2</v>
      </c>
      <c r="B4" s="4"/>
      <c r="C4" s="20" t="s">
        <v>315</v>
      </c>
      <c r="D4" s="20" t="s">
        <v>318</v>
      </c>
      <c r="E4" s="20" t="s">
        <v>299</v>
      </c>
      <c r="F4" s="6"/>
      <c r="G4" s="12" t="s">
        <v>295</v>
      </c>
      <c r="H4" s="12">
        <v>-0.54999999999999716</v>
      </c>
      <c r="I4" s="6"/>
      <c r="J4" s="5">
        <v>86</v>
      </c>
      <c r="K4" s="5">
        <v>82</v>
      </c>
      <c r="L4" s="5">
        <v>94</v>
      </c>
      <c r="M4" s="5">
        <v>86</v>
      </c>
      <c r="N4" s="5">
        <v>100</v>
      </c>
      <c r="O4" s="5">
        <v>79</v>
      </c>
      <c r="P4" s="5">
        <v>91</v>
      </c>
      <c r="Q4" s="5">
        <v>69</v>
      </c>
      <c r="R4" s="5">
        <v>88</v>
      </c>
    </row>
    <row r="5" spans="1:18" x14ac:dyDescent="0.35">
      <c r="A5" s="52" t="s">
        <v>2</v>
      </c>
      <c r="B5" s="4"/>
      <c r="C5" s="20" t="s">
        <v>320</v>
      </c>
      <c r="D5" s="20" t="s">
        <v>572</v>
      </c>
      <c r="E5" s="20" t="s">
        <v>572</v>
      </c>
      <c r="F5" s="6"/>
      <c r="G5" s="16" t="s">
        <v>297</v>
      </c>
      <c r="H5" s="16">
        <v>-0.29999999999999716</v>
      </c>
      <c r="I5" s="6"/>
      <c r="J5" s="5">
        <v>67</v>
      </c>
      <c r="K5" s="5">
        <v>71</v>
      </c>
      <c r="L5" s="5">
        <v>86</v>
      </c>
      <c r="M5" s="5">
        <v>68</v>
      </c>
      <c r="N5" s="5">
        <v>64</v>
      </c>
      <c r="O5" s="5">
        <v>102</v>
      </c>
      <c r="P5" s="5">
        <v>85</v>
      </c>
      <c r="Q5" s="5">
        <v>104</v>
      </c>
      <c r="R5" s="5">
        <v>85</v>
      </c>
    </row>
    <row r="6" spans="1:18" x14ac:dyDescent="0.35">
      <c r="A6" s="52" t="s">
        <v>2</v>
      </c>
      <c r="B6" s="4"/>
      <c r="C6" s="20" t="s">
        <v>179</v>
      </c>
      <c r="D6" s="20" t="s">
        <v>548</v>
      </c>
      <c r="E6" s="20" t="s">
        <v>572</v>
      </c>
      <c r="F6" s="6"/>
      <c r="G6" s="5" t="s">
        <v>68</v>
      </c>
      <c r="H6" s="5" t="s">
        <v>68</v>
      </c>
      <c r="I6" s="6"/>
      <c r="J6" s="5">
        <v>67</v>
      </c>
      <c r="K6" s="5">
        <v>71</v>
      </c>
      <c r="L6" s="5">
        <v>86</v>
      </c>
      <c r="M6" s="5">
        <v>68</v>
      </c>
      <c r="N6" s="5">
        <v>64</v>
      </c>
      <c r="O6" s="5">
        <v>102</v>
      </c>
      <c r="P6" s="5">
        <v>85</v>
      </c>
      <c r="Q6" s="5">
        <v>104</v>
      </c>
      <c r="R6" s="5">
        <v>85</v>
      </c>
    </row>
    <row r="7" spans="1:18" x14ac:dyDescent="0.35">
      <c r="A7" s="52" t="s">
        <v>2</v>
      </c>
      <c r="B7" s="4"/>
      <c r="C7" s="20" t="s">
        <v>181</v>
      </c>
      <c r="D7" s="20" t="s">
        <v>183</v>
      </c>
      <c r="E7" s="20" t="s">
        <v>264</v>
      </c>
      <c r="F7" s="6"/>
      <c r="G7" s="41" t="s">
        <v>299</v>
      </c>
      <c r="H7" s="41">
        <v>6.2999999999999972</v>
      </c>
      <c r="I7" s="6"/>
      <c r="J7" s="8">
        <v>105</v>
      </c>
      <c r="K7" s="8">
        <v>108</v>
      </c>
      <c r="L7" s="8">
        <v>116</v>
      </c>
      <c r="M7" s="8">
        <v>91</v>
      </c>
      <c r="N7" s="8">
        <v>94</v>
      </c>
      <c r="O7" s="8">
        <v>124</v>
      </c>
      <c r="P7" s="8">
        <v>112</v>
      </c>
      <c r="Q7" s="8">
        <v>110</v>
      </c>
      <c r="R7" s="8">
        <v>103</v>
      </c>
    </row>
    <row r="8" spans="1:18" x14ac:dyDescent="0.35">
      <c r="A8" s="52" t="s">
        <v>2</v>
      </c>
      <c r="B8" s="4"/>
      <c r="C8" s="20" t="s">
        <v>322</v>
      </c>
      <c r="D8" s="20" t="s">
        <v>186</v>
      </c>
      <c r="E8" s="20" t="s">
        <v>269</v>
      </c>
      <c r="F8" s="6"/>
      <c r="G8" s="12" t="s">
        <v>302</v>
      </c>
      <c r="H8" s="12">
        <v>-7.8000000000000007</v>
      </c>
      <c r="I8" s="6"/>
      <c r="J8" s="8">
        <v>106</v>
      </c>
      <c r="K8" s="8">
        <v>106</v>
      </c>
      <c r="L8" s="8">
        <v>110</v>
      </c>
      <c r="M8" s="8">
        <v>100</v>
      </c>
      <c r="N8" s="8">
        <v>102</v>
      </c>
      <c r="O8" s="8">
        <v>99</v>
      </c>
      <c r="P8" s="8">
        <v>88</v>
      </c>
      <c r="Q8" s="8">
        <v>96</v>
      </c>
      <c r="R8" s="8">
        <v>88</v>
      </c>
    </row>
    <row r="9" spans="1:18" x14ac:dyDescent="0.35">
      <c r="A9" s="52" t="s">
        <v>2</v>
      </c>
      <c r="B9" s="4"/>
      <c r="C9" s="20" t="s">
        <v>188</v>
      </c>
      <c r="D9" s="20" t="s">
        <v>190</v>
      </c>
      <c r="E9" s="20" t="s">
        <v>272</v>
      </c>
      <c r="F9" s="6"/>
      <c r="G9" s="5" t="s">
        <v>68</v>
      </c>
      <c r="H9" s="5" t="s">
        <v>68</v>
      </c>
      <c r="I9" s="6"/>
      <c r="J9" s="8">
        <v>137</v>
      </c>
      <c r="K9" s="8">
        <v>139</v>
      </c>
      <c r="L9" s="8">
        <v>128</v>
      </c>
      <c r="M9" s="8">
        <v>112</v>
      </c>
      <c r="N9" s="8">
        <v>137</v>
      </c>
      <c r="O9" s="8">
        <v>136</v>
      </c>
      <c r="P9" s="8">
        <v>115</v>
      </c>
      <c r="Q9" s="8">
        <v>132</v>
      </c>
      <c r="R9" s="8">
        <v>118</v>
      </c>
    </row>
    <row r="10" spans="1:18" x14ac:dyDescent="0.35">
      <c r="A10" s="52" t="s">
        <v>2</v>
      </c>
      <c r="B10" s="4"/>
      <c r="C10" s="20" t="s">
        <v>191</v>
      </c>
      <c r="D10" s="20" t="s">
        <v>192</v>
      </c>
      <c r="E10" s="20" t="s">
        <v>572</v>
      </c>
      <c r="F10" s="6"/>
      <c r="G10" s="5" t="s">
        <v>68</v>
      </c>
      <c r="H10" s="5" t="s">
        <v>68</v>
      </c>
      <c r="I10" s="6"/>
      <c r="J10" s="8">
        <v>99</v>
      </c>
      <c r="K10" s="8">
        <v>86</v>
      </c>
      <c r="L10" s="8">
        <v>110</v>
      </c>
      <c r="M10" s="8">
        <v>85</v>
      </c>
      <c r="N10" s="8">
        <v>117</v>
      </c>
      <c r="O10" s="8">
        <v>114</v>
      </c>
      <c r="P10" s="8">
        <v>126</v>
      </c>
      <c r="Q10" s="8">
        <v>107</v>
      </c>
      <c r="R10" s="8">
        <v>121</v>
      </c>
    </row>
    <row r="11" spans="1:18" x14ac:dyDescent="0.35">
      <c r="A11" s="52" t="s">
        <v>2</v>
      </c>
      <c r="B11" s="4"/>
      <c r="C11" s="20" t="s">
        <v>275</v>
      </c>
      <c r="D11" s="20" t="s">
        <v>277</v>
      </c>
      <c r="E11" s="20" t="s">
        <v>278</v>
      </c>
      <c r="F11" s="6"/>
      <c r="G11" s="5" t="s">
        <v>68</v>
      </c>
      <c r="H11" s="5" t="s">
        <v>68</v>
      </c>
      <c r="I11" s="6"/>
      <c r="J11" s="8">
        <v>61</v>
      </c>
      <c r="K11" s="8">
        <v>61</v>
      </c>
      <c r="L11" s="8">
        <v>78</v>
      </c>
      <c r="M11" s="8">
        <v>63</v>
      </c>
      <c r="N11" s="8">
        <v>72</v>
      </c>
      <c r="O11" s="8">
        <v>70</v>
      </c>
      <c r="P11" s="8">
        <v>71</v>
      </c>
      <c r="Q11" s="8">
        <v>74</v>
      </c>
      <c r="R11" s="8">
        <v>60</v>
      </c>
    </row>
    <row r="12" spans="1:18" x14ac:dyDescent="0.35">
      <c r="A12" s="52" t="s">
        <v>2</v>
      </c>
      <c r="B12" s="4"/>
      <c r="C12" s="20" t="s">
        <v>194</v>
      </c>
      <c r="D12" s="20" t="s">
        <v>196</v>
      </c>
      <c r="E12" s="20" t="s">
        <v>280</v>
      </c>
      <c r="F12" s="6"/>
      <c r="G12" s="5" t="s">
        <v>68</v>
      </c>
      <c r="H12" s="5" t="s">
        <v>68</v>
      </c>
      <c r="I12" s="6"/>
      <c r="J12" s="8">
        <v>69</v>
      </c>
      <c r="K12" s="8">
        <v>75</v>
      </c>
      <c r="L12" s="8">
        <v>70</v>
      </c>
      <c r="M12" s="8">
        <v>63</v>
      </c>
      <c r="N12" s="8">
        <v>94</v>
      </c>
      <c r="O12" s="8">
        <v>72</v>
      </c>
      <c r="P12" s="8">
        <v>74</v>
      </c>
      <c r="Q12" s="8">
        <v>70</v>
      </c>
      <c r="R12" s="8">
        <v>72</v>
      </c>
    </row>
    <row r="13" spans="1:18" x14ac:dyDescent="0.35">
      <c r="A13" s="52" t="s">
        <v>2</v>
      </c>
      <c r="B13" s="4"/>
      <c r="C13" s="20" t="s">
        <v>198</v>
      </c>
      <c r="D13" s="20" t="s">
        <v>200</v>
      </c>
      <c r="E13" s="20" t="s">
        <v>282</v>
      </c>
      <c r="F13" s="6"/>
      <c r="G13" s="5" t="s">
        <v>68</v>
      </c>
      <c r="H13" s="5" t="s">
        <v>68</v>
      </c>
      <c r="I13" s="6"/>
      <c r="J13" s="8">
        <v>69</v>
      </c>
      <c r="K13" s="8">
        <v>75</v>
      </c>
      <c r="L13" s="8">
        <v>70</v>
      </c>
      <c r="M13" s="8">
        <v>63</v>
      </c>
      <c r="N13" s="8">
        <v>94</v>
      </c>
      <c r="O13" s="8">
        <v>72</v>
      </c>
      <c r="P13" s="8">
        <v>74</v>
      </c>
      <c r="Q13" s="8">
        <v>70</v>
      </c>
      <c r="R13" s="8">
        <v>72</v>
      </c>
    </row>
    <row r="14" spans="1:18" x14ac:dyDescent="0.35">
      <c r="A14" s="52" t="s">
        <v>2</v>
      </c>
      <c r="B14" s="4"/>
      <c r="C14" s="20" t="s">
        <v>202</v>
      </c>
      <c r="D14" s="20" t="s">
        <v>324</v>
      </c>
      <c r="E14" s="20" t="s">
        <v>326</v>
      </c>
      <c r="F14" s="6"/>
      <c r="G14" s="16" t="s">
        <v>304</v>
      </c>
      <c r="H14" s="16">
        <v>11.199999999999996</v>
      </c>
      <c r="I14" s="6"/>
      <c r="J14" s="5">
        <v>94</v>
      </c>
      <c r="K14" s="5">
        <v>116</v>
      </c>
      <c r="L14" s="5">
        <v>94</v>
      </c>
      <c r="M14" s="5">
        <v>71</v>
      </c>
      <c r="N14" s="5">
        <v>94</v>
      </c>
      <c r="O14" s="5">
        <v>92</v>
      </c>
      <c r="P14" s="5">
        <v>94</v>
      </c>
      <c r="Q14" s="5">
        <v>86</v>
      </c>
      <c r="R14" s="5">
        <v>97</v>
      </c>
    </row>
    <row r="15" spans="1:18" x14ac:dyDescent="0.35">
      <c r="A15" s="52" t="s">
        <v>2</v>
      </c>
      <c r="B15" s="4"/>
      <c r="C15" s="20" t="s">
        <v>204</v>
      </c>
      <c r="D15" s="20" t="s">
        <v>206</v>
      </c>
      <c r="E15" s="20" t="s">
        <v>284</v>
      </c>
      <c r="F15" s="6"/>
      <c r="G15" s="12" t="s">
        <v>232</v>
      </c>
      <c r="H15" s="12">
        <v>13.400000000000006</v>
      </c>
      <c r="I15" s="6"/>
      <c r="J15" s="5">
        <v>94</v>
      </c>
      <c r="K15" s="5">
        <v>116</v>
      </c>
      <c r="L15" s="5">
        <v>94</v>
      </c>
      <c r="M15" s="5">
        <v>71</v>
      </c>
      <c r="N15" s="5">
        <v>94</v>
      </c>
      <c r="O15" s="5">
        <v>92</v>
      </c>
      <c r="P15" s="5">
        <v>94</v>
      </c>
      <c r="Q15" s="5">
        <v>86</v>
      </c>
      <c r="R15" s="5">
        <v>97</v>
      </c>
    </row>
    <row r="16" spans="1:18" x14ac:dyDescent="0.35">
      <c r="A16" s="52" t="s">
        <v>2</v>
      </c>
      <c r="B16" s="4"/>
      <c r="C16" s="20" t="s">
        <v>572</v>
      </c>
      <c r="D16" s="20" t="s">
        <v>503</v>
      </c>
      <c r="E16" s="20" t="s">
        <v>194</v>
      </c>
      <c r="F16" s="6"/>
      <c r="G16" s="5" t="s">
        <v>68</v>
      </c>
      <c r="H16" s="5" t="s">
        <v>68</v>
      </c>
      <c r="I16" s="6"/>
      <c r="J16" s="8">
        <v>87</v>
      </c>
      <c r="K16" s="8">
        <v>92</v>
      </c>
      <c r="L16" s="8">
        <v>85</v>
      </c>
      <c r="M16" s="8">
        <v>97</v>
      </c>
      <c r="N16" s="8">
        <v>88</v>
      </c>
      <c r="O16" s="8">
        <v>94</v>
      </c>
      <c r="P16" s="8">
        <v>109</v>
      </c>
      <c r="Q16" s="8">
        <v>96</v>
      </c>
      <c r="R16" s="8">
        <v>112</v>
      </c>
    </row>
    <row r="17" spans="1:18" x14ac:dyDescent="0.35">
      <c r="A17" s="52" t="s">
        <v>2</v>
      </c>
      <c r="B17" s="4"/>
      <c r="C17" s="5" t="s">
        <v>68</v>
      </c>
      <c r="D17" s="5" t="s">
        <v>68</v>
      </c>
      <c r="E17" s="5" t="s">
        <v>68</v>
      </c>
      <c r="F17" s="6"/>
      <c r="G17" s="16" t="s">
        <v>310</v>
      </c>
      <c r="H17" s="16">
        <v>8.9000000000000057</v>
      </c>
      <c r="I17" s="6"/>
      <c r="J17" s="5">
        <v>97</v>
      </c>
      <c r="K17" s="5">
        <v>112</v>
      </c>
      <c r="L17" s="5">
        <v>82</v>
      </c>
      <c r="M17" s="5">
        <v>85</v>
      </c>
      <c r="N17" s="5">
        <v>97</v>
      </c>
      <c r="O17" s="5">
        <v>124</v>
      </c>
      <c r="P17" s="5">
        <v>118</v>
      </c>
      <c r="Q17" s="5">
        <v>123</v>
      </c>
      <c r="R17" s="5">
        <v>118</v>
      </c>
    </row>
    <row r="18" spans="1:18" x14ac:dyDescent="0.35">
      <c r="A18" s="52" t="s">
        <v>2</v>
      </c>
      <c r="B18" s="4"/>
      <c r="C18" s="20" t="s">
        <v>208</v>
      </c>
      <c r="D18" s="20" t="s">
        <v>210</v>
      </c>
      <c r="E18" s="20" t="s">
        <v>288</v>
      </c>
      <c r="F18" s="6"/>
      <c r="G18" s="16" t="s">
        <v>572</v>
      </c>
      <c r="H18" s="16">
        <v>27.899999999999991</v>
      </c>
      <c r="I18" s="6"/>
      <c r="J18" s="8">
        <v>73</v>
      </c>
      <c r="K18" s="8">
        <v>84</v>
      </c>
      <c r="L18" s="8">
        <v>68</v>
      </c>
      <c r="M18" s="8">
        <v>86</v>
      </c>
      <c r="N18" s="8">
        <v>69</v>
      </c>
      <c r="O18" s="8">
        <v>111</v>
      </c>
      <c r="P18" s="8">
        <v>91</v>
      </c>
      <c r="Q18" s="8">
        <v>107</v>
      </c>
      <c r="R18" s="8">
        <v>103</v>
      </c>
    </row>
    <row r="19" spans="1:18" x14ac:dyDescent="0.35">
      <c r="A19" s="52" t="s">
        <v>2</v>
      </c>
      <c r="B19" s="4"/>
      <c r="C19" s="20" t="s">
        <v>290</v>
      </c>
      <c r="D19" s="20" t="s">
        <v>212</v>
      </c>
      <c r="E19" s="20" t="s">
        <v>291</v>
      </c>
      <c r="F19" s="6"/>
      <c r="G19" s="5" t="s">
        <v>68</v>
      </c>
      <c r="H19" s="5" t="s">
        <v>68</v>
      </c>
      <c r="I19" s="6"/>
      <c r="J19" s="5">
        <v>96</v>
      </c>
      <c r="K19" s="5">
        <v>95</v>
      </c>
      <c r="L19" s="5">
        <v>99</v>
      </c>
      <c r="M19" s="5">
        <v>98</v>
      </c>
      <c r="N19" s="5">
        <v>105</v>
      </c>
      <c r="O19" s="5">
        <v>108</v>
      </c>
      <c r="P19" s="5">
        <v>100</v>
      </c>
      <c r="Q19" s="5">
        <v>104</v>
      </c>
      <c r="R19" s="5">
        <v>94</v>
      </c>
    </row>
    <row r="20" spans="1:18" x14ac:dyDescent="0.35">
      <c r="A20" s="52" t="s">
        <v>2</v>
      </c>
      <c r="B20" s="4"/>
      <c r="C20" s="20" t="s">
        <v>216</v>
      </c>
      <c r="D20" s="20" t="s">
        <v>214</v>
      </c>
      <c r="E20" s="20" t="s">
        <v>293</v>
      </c>
      <c r="F20" s="6"/>
      <c r="G20" s="16" t="s">
        <v>311</v>
      </c>
      <c r="H20" s="16">
        <v>0.39999999999999858</v>
      </c>
      <c r="I20" s="6"/>
      <c r="J20" s="8">
        <v>93</v>
      </c>
      <c r="K20" s="8">
        <v>84</v>
      </c>
      <c r="L20" s="8">
        <v>98</v>
      </c>
      <c r="M20" s="8">
        <v>88</v>
      </c>
      <c r="N20" s="8">
        <v>89</v>
      </c>
      <c r="O20" s="8">
        <v>94</v>
      </c>
      <c r="P20" s="53">
        <v>100</v>
      </c>
      <c r="Q20" s="53">
        <v>101</v>
      </c>
      <c r="R20" s="5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23EF-F5FD-422A-823E-099DFED229D2}">
  <dimension ref="A1:U70"/>
  <sheetViews>
    <sheetView zoomScale="107" workbookViewId="0">
      <selection activeCell="U10" sqref="U10"/>
    </sheetView>
  </sheetViews>
  <sheetFormatPr baseColWidth="10" defaultRowHeight="14.5" x14ac:dyDescent="0.35"/>
  <cols>
    <col min="1" max="1" width="7.453125" style="1" bestFit="1" customWidth="1"/>
    <col min="2" max="2" width="5.26953125" style="5" bestFit="1" customWidth="1"/>
    <col min="3" max="3" width="0.54296875" style="212" customWidth="1"/>
    <col min="4" max="6" width="10.90625" style="88"/>
    <col min="7" max="7" width="0.453125" style="212" customWidth="1"/>
    <col min="8" max="8" width="10.81640625" style="5" bestFit="1" customWidth="1"/>
    <col min="9" max="9" width="6.26953125" style="5" bestFit="1" customWidth="1"/>
    <col min="10" max="10" width="0.54296875" style="212" customWidth="1"/>
    <col min="11" max="12" width="11.1796875" style="88" bestFit="1" customWidth="1"/>
    <col min="13" max="13" width="4.453125" style="5" bestFit="1" customWidth="1"/>
    <col min="14" max="14" width="4.1796875" style="5" bestFit="1" customWidth="1"/>
    <col min="15" max="15" width="4.453125" style="5" bestFit="1" customWidth="1"/>
    <col min="16" max="16" width="4.81640625" style="5" bestFit="1" customWidth="1"/>
    <col min="17" max="17" width="4.453125" style="5" bestFit="1" customWidth="1"/>
    <col min="18" max="19" width="4.26953125" style="5" bestFit="1" customWidth="1"/>
    <col min="20" max="21" width="4.54296875" style="5" bestFit="1" customWidth="1"/>
  </cols>
  <sheetData>
    <row r="1" spans="1:21" ht="15" thickBot="1" x14ac:dyDescent="0.4">
      <c r="A1" s="1" t="s">
        <v>0</v>
      </c>
      <c r="B1" s="1" t="s">
        <v>9</v>
      </c>
      <c r="C1" s="3"/>
      <c r="D1" s="1" t="s">
        <v>44</v>
      </c>
      <c r="E1" s="1" t="s">
        <v>45</v>
      </c>
      <c r="F1" s="1" t="s">
        <v>177</v>
      </c>
      <c r="G1" s="3"/>
      <c r="H1" s="1" t="s">
        <v>226</v>
      </c>
      <c r="I1" s="1" t="s">
        <v>648</v>
      </c>
      <c r="J1" s="3"/>
      <c r="K1" s="125" t="s">
        <v>550</v>
      </c>
      <c r="L1" s="125" t="s">
        <v>551</v>
      </c>
      <c r="M1" s="1" t="s">
        <v>336</v>
      </c>
      <c r="N1" s="1" t="s">
        <v>337</v>
      </c>
      <c r="O1" s="1" t="s">
        <v>338</v>
      </c>
      <c r="P1" s="1" t="s">
        <v>339</v>
      </c>
      <c r="Q1" s="1" t="s">
        <v>341</v>
      </c>
      <c r="R1" s="1" t="s">
        <v>343</v>
      </c>
      <c r="S1" s="1" t="s">
        <v>345</v>
      </c>
      <c r="T1" s="1" t="s">
        <v>348</v>
      </c>
      <c r="U1" s="1" t="s">
        <v>349</v>
      </c>
    </row>
    <row r="2" spans="1:21" x14ac:dyDescent="0.35">
      <c r="A2" s="1" t="s">
        <v>5</v>
      </c>
      <c r="B2" s="5" t="s">
        <v>2</v>
      </c>
      <c r="D2" s="20" t="s">
        <v>167</v>
      </c>
      <c r="E2" s="20" t="s">
        <v>168</v>
      </c>
      <c r="F2" s="20" t="s">
        <v>258</v>
      </c>
      <c r="H2" s="5" t="s">
        <v>68</v>
      </c>
      <c r="I2" s="5" t="s">
        <v>68</v>
      </c>
      <c r="K2" s="126" t="s">
        <v>553</v>
      </c>
      <c r="L2" s="126" t="s">
        <v>554</v>
      </c>
      <c r="M2" s="5">
        <v>96</v>
      </c>
      <c r="N2" s="8">
        <v>98</v>
      </c>
      <c r="O2" s="8">
        <v>100</v>
      </c>
      <c r="P2" s="8">
        <v>91</v>
      </c>
      <c r="Q2" s="8">
        <v>94</v>
      </c>
      <c r="R2" s="8">
        <v>105</v>
      </c>
      <c r="S2" s="8">
        <v>123</v>
      </c>
      <c r="T2" s="8">
        <v>101</v>
      </c>
      <c r="U2" s="8">
        <v>115</v>
      </c>
    </row>
    <row r="3" spans="1:21" x14ac:dyDescent="0.35">
      <c r="A3" s="1" t="s">
        <v>8</v>
      </c>
      <c r="B3" s="5" t="s">
        <v>2</v>
      </c>
      <c r="D3" s="20" t="s">
        <v>171</v>
      </c>
      <c r="E3" s="20" t="s">
        <v>173</v>
      </c>
      <c r="F3" s="20" t="s">
        <v>227</v>
      </c>
      <c r="H3" s="16" t="s">
        <v>584</v>
      </c>
      <c r="I3" s="209">
        <v>5</v>
      </c>
      <c r="K3" s="126" t="s">
        <v>552</v>
      </c>
      <c r="L3" s="126" t="s">
        <v>552</v>
      </c>
      <c r="M3" s="8">
        <v>122</v>
      </c>
      <c r="N3" s="8">
        <v>116</v>
      </c>
      <c r="O3" s="8">
        <v>124</v>
      </c>
      <c r="P3" s="8">
        <v>120</v>
      </c>
      <c r="Q3" s="8">
        <v>105</v>
      </c>
      <c r="R3" s="8">
        <v>105</v>
      </c>
      <c r="S3" s="8">
        <v>103</v>
      </c>
      <c r="T3" s="8">
        <v>104</v>
      </c>
      <c r="U3" s="8">
        <v>103</v>
      </c>
    </row>
    <row r="4" spans="1:21" x14ac:dyDescent="0.35">
      <c r="A4" s="1" t="s">
        <v>69</v>
      </c>
      <c r="B4" s="5" t="s">
        <v>2</v>
      </c>
      <c r="D4" s="20" t="s">
        <v>316</v>
      </c>
      <c r="E4" s="20" t="s">
        <v>317</v>
      </c>
      <c r="F4" s="20" t="s">
        <v>319</v>
      </c>
      <c r="H4" s="12" t="s">
        <v>294</v>
      </c>
      <c r="I4" s="209">
        <v>-2.5</v>
      </c>
      <c r="K4" s="126" t="s">
        <v>553</v>
      </c>
      <c r="L4" s="126" t="s">
        <v>555</v>
      </c>
      <c r="M4" s="5">
        <v>86</v>
      </c>
      <c r="N4" s="5">
        <v>82</v>
      </c>
      <c r="O4" s="5">
        <v>94</v>
      </c>
      <c r="P4" s="5">
        <v>86</v>
      </c>
      <c r="Q4" s="5">
        <v>100</v>
      </c>
      <c r="R4" s="5">
        <v>79</v>
      </c>
      <c r="S4" s="5">
        <v>91</v>
      </c>
      <c r="T4" s="5">
        <v>69</v>
      </c>
      <c r="U4" s="5">
        <v>88</v>
      </c>
    </row>
    <row r="5" spans="1:21" x14ac:dyDescent="0.35">
      <c r="A5" s="1" t="s">
        <v>29</v>
      </c>
      <c r="B5" s="5" t="s">
        <v>2</v>
      </c>
      <c r="D5" s="20" t="s">
        <v>182</v>
      </c>
      <c r="E5" s="20" t="s">
        <v>584</v>
      </c>
      <c r="F5" s="20" t="s">
        <v>584</v>
      </c>
      <c r="H5" s="16" t="s">
        <v>296</v>
      </c>
      <c r="I5" s="209">
        <v>0</v>
      </c>
      <c r="K5" s="126" t="s">
        <v>557</v>
      </c>
      <c r="L5" s="126" t="s">
        <v>556</v>
      </c>
      <c r="M5" s="5">
        <v>67</v>
      </c>
      <c r="N5" s="5">
        <v>71</v>
      </c>
      <c r="O5" s="5">
        <v>86</v>
      </c>
      <c r="P5" s="5">
        <v>68</v>
      </c>
      <c r="Q5" s="5">
        <v>64</v>
      </c>
      <c r="R5" s="5">
        <v>102</v>
      </c>
      <c r="S5" s="5">
        <v>85</v>
      </c>
      <c r="T5" s="5">
        <v>104</v>
      </c>
      <c r="U5" s="5">
        <v>85</v>
      </c>
    </row>
    <row r="6" spans="1:21" x14ac:dyDescent="0.35">
      <c r="A6" s="1" t="s">
        <v>30</v>
      </c>
      <c r="B6" s="5" t="s">
        <v>2</v>
      </c>
      <c r="D6" s="20" t="s">
        <v>178</v>
      </c>
      <c r="E6" s="20" t="s">
        <v>547</v>
      </c>
      <c r="F6" s="20" t="s">
        <v>584</v>
      </c>
      <c r="H6" s="5" t="s">
        <v>68</v>
      </c>
      <c r="I6" s="5" t="s">
        <v>68</v>
      </c>
      <c r="K6" s="126" t="s">
        <v>557</v>
      </c>
      <c r="L6" s="126" t="s">
        <v>556</v>
      </c>
      <c r="M6" s="5">
        <v>67</v>
      </c>
      <c r="N6" s="5">
        <v>71</v>
      </c>
      <c r="O6" s="5">
        <v>86</v>
      </c>
      <c r="P6" s="5">
        <v>68</v>
      </c>
      <c r="Q6" s="5">
        <v>64</v>
      </c>
      <c r="R6" s="5">
        <v>102</v>
      </c>
      <c r="S6" s="5">
        <v>85</v>
      </c>
      <c r="T6" s="5">
        <v>104</v>
      </c>
      <c r="U6" s="5">
        <v>85</v>
      </c>
    </row>
    <row r="7" spans="1:21" x14ac:dyDescent="0.35">
      <c r="A7" s="1" t="s">
        <v>12</v>
      </c>
      <c r="B7" s="5" t="s">
        <v>2</v>
      </c>
      <c r="D7" s="23" t="s">
        <v>180</v>
      </c>
      <c r="E7" s="20" t="s">
        <v>182</v>
      </c>
      <c r="F7" s="20" t="s">
        <v>262</v>
      </c>
      <c r="H7" s="12" t="s">
        <v>298</v>
      </c>
      <c r="I7" s="12">
        <v>9.5</v>
      </c>
      <c r="K7" s="126" t="s">
        <v>558</v>
      </c>
      <c r="L7" s="126" t="s">
        <v>559</v>
      </c>
      <c r="M7" s="8">
        <v>105</v>
      </c>
      <c r="N7" s="8">
        <v>108</v>
      </c>
      <c r="O7" s="8">
        <v>116</v>
      </c>
      <c r="P7" s="8">
        <v>91</v>
      </c>
      <c r="Q7" s="8">
        <v>94</v>
      </c>
      <c r="R7" s="8">
        <v>124</v>
      </c>
      <c r="S7" s="8">
        <v>112</v>
      </c>
      <c r="T7" s="8">
        <v>110</v>
      </c>
      <c r="U7" s="8">
        <v>103</v>
      </c>
    </row>
    <row r="8" spans="1:21" x14ac:dyDescent="0.35">
      <c r="A8" s="1" t="s">
        <v>14</v>
      </c>
      <c r="B8" s="5" t="s">
        <v>2</v>
      </c>
      <c r="D8" s="20" t="s">
        <v>321</v>
      </c>
      <c r="E8" s="20" t="s">
        <v>185</v>
      </c>
      <c r="F8" s="20" t="s">
        <v>268</v>
      </c>
      <c r="H8" s="12" t="s">
        <v>301</v>
      </c>
      <c r="I8" s="12">
        <v>11</v>
      </c>
      <c r="K8" s="126" t="s">
        <v>553</v>
      </c>
      <c r="L8" s="126" t="s">
        <v>560</v>
      </c>
      <c r="M8" s="8">
        <v>106</v>
      </c>
      <c r="N8" s="8">
        <v>106</v>
      </c>
      <c r="O8" s="8">
        <v>110</v>
      </c>
      <c r="P8" s="8">
        <v>100</v>
      </c>
      <c r="Q8" s="8">
        <v>102</v>
      </c>
      <c r="R8" s="8">
        <v>99</v>
      </c>
      <c r="S8" s="8">
        <v>88</v>
      </c>
      <c r="T8" s="8">
        <v>96</v>
      </c>
      <c r="U8" s="8">
        <v>88</v>
      </c>
    </row>
    <row r="9" spans="1:21" x14ac:dyDescent="0.35">
      <c r="A9" s="1" t="s">
        <v>31</v>
      </c>
      <c r="B9" s="5" t="s">
        <v>2</v>
      </c>
      <c r="D9" s="20" t="s">
        <v>187</v>
      </c>
      <c r="E9" s="20" t="s">
        <v>189</v>
      </c>
      <c r="F9" s="20" t="s">
        <v>271</v>
      </c>
      <c r="H9" s="5" t="s">
        <v>68</v>
      </c>
      <c r="I9" s="5" t="s">
        <v>68</v>
      </c>
      <c r="K9" s="127" t="s">
        <v>552</v>
      </c>
      <c r="L9" s="127" t="s">
        <v>552</v>
      </c>
      <c r="M9" s="8">
        <v>137</v>
      </c>
      <c r="N9" s="8">
        <v>139</v>
      </c>
      <c r="O9" s="8">
        <v>128</v>
      </c>
      <c r="P9" s="8">
        <v>112</v>
      </c>
      <c r="Q9" s="8">
        <v>137</v>
      </c>
      <c r="R9" s="8">
        <v>136</v>
      </c>
      <c r="S9" s="8">
        <v>115</v>
      </c>
      <c r="T9" s="8">
        <v>132</v>
      </c>
      <c r="U9" s="8">
        <v>118</v>
      </c>
    </row>
    <row r="10" spans="1:21" x14ac:dyDescent="0.35">
      <c r="A10" s="1" t="s">
        <v>33</v>
      </c>
      <c r="B10" s="5" t="s">
        <v>2</v>
      </c>
      <c r="D10" s="20" t="s">
        <v>175</v>
      </c>
      <c r="E10" s="20" t="s">
        <v>180</v>
      </c>
      <c r="F10" s="20" t="s">
        <v>584</v>
      </c>
      <c r="H10" s="5" t="s">
        <v>68</v>
      </c>
      <c r="I10" s="5" t="s">
        <v>68</v>
      </c>
      <c r="K10" s="126" t="s">
        <v>558</v>
      </c>
      <c r="L10" s="126" t="s">
        <v>565</v>
      </c>
      <c r="M10" s="8">
        <v>99</v>
      </c>
      <c r="N10" s="8">
        <v>86</v>
      </c>
      <c r="O10" s="8">
        <v>110</v>
      </c>
      <c r="P10" s="8">
        <v>85</v>
      </c>
      <c r="Q10" s="8">
        <v>117</v>
      </c>
      <c r="R10" s="8">
        <v>114</v>
      </c>
      <c r="S10" s="8">
        <v>126</v>
      </c>
      <c r="T10" s="8">
        <v>107</v>
      </c>
      <c r="U10" s="8">
        <v>121</v>
      </c>
    </row>
    <row r="11" spans="1:21" x14ac:dyDescent="0.35">
      <c r="A11" s="1" t="s">
        <v>35</v>
      </c>
      <c r="B11" s="5" t="s">
        <v>2</v>
      </c>
      <c r="D11" s="20" t="s">
        <v>274</v>
      </c>
      <c r="E11" s="20" t="s">
        <v>276</v>
      </c>
      <c r="F11" s="20" t="s">
        <v>263</v>
      </c>
      <c r="H11" s="5" t="s">
        <v>68</v>
      </c>
      <c r="I11" s="5" t="s">
        <v>68</v>
      </c>
      <c r="K11" s="134">
        <v>0.94</v>
      </c>
      <c r="L11" s="129" t="s">
        <v>566</v>
      </c>
      <c r="M11" s="8">
        <v>61</v>
      </c>
      <c r="N11" s="8">
        <v>61</v>
      </c>
      <c r="O11" s="8">
        <v>78</v>
      </c>
      <c r="P11" s="8">
        <v>63</v>
      </c>
      <c r="Q11" s="8">
        <v>72</v>
      </c>
      <c r="R11" s="8">
        <v>70</v>
      </c>
      <c r="S11" s="8">
        <v>71</v>
      </c>
      <c r="T11" s="8">
        <v>74</v>
      </c>
      <c r="U11" s="8">
        <v>60</v>
      </c>
    </row>
    <row r="12" spans="1:21" x14ac:dyDescent="0.35">
      <c r="A12" s="1" t="s">
        <v>37</v>
      </c>
      <c r="B12" s="5" t="s">
        <v>2</v>
      </c>
      <c r="D12" s="20" t="s">
        <v>193</v>
      </c>
      <c r="E12" s="20" t="s">
        <v>195</v>
      </c>
      <c r="F12" s="20" t="s">
        <v>279</v>
      </c>
      <c r="H12" s="5" t="s">
        <v>68</v>
      </c>
      <c r="I12" s="5" t="s">
        <v>68</v>
      </c>
      <c r="K12" s="129" t="s">
        <v>552</v>
      </c>
      <c r="L12" s="129" t="s">
        <v>552</v>
      </c>
      <c r="M12" s="8">
        <v>69</v>
      </c>
      <c r="N12" s="8">
        <v>75</v>
      </c>
      <c r="O12" s="8">
        <v>70</v>
      </c>
      <c r="P12" s="8">
        <v>63</v>
      </c>
      <c r="Q12" s="8">
        <v>94</v>
      </c>
      <c r="R12" s="8">
        <v>72</v>
      </c>
      <c r="S12" s="8">
        <v>74</v>
      </c>
      <c r="T12" s="8">
        <v>70</v>
      </c>
      <c r="U12" s="8">
        <v>72</v>
      </c>
    </row>
    <row r="13" spans="1:21" x14ac:dyDescent="0.35">
      <c r="A13" s="1" t="s">
        <v>38</v>
      </c>
      <c r="B13" s="5" t="s">
        <v>2</v>
      </c>
      <c r="D13" s="20" t="s">
        <v>197</v>
      </c>
      <c r="E13" s="20" t="s">
        <v>199</v>
      </c>
      <c r="F13" s="20" t="s">
        <v>281</v>
      </c>
      <c r="H13" s="5" t="s">
        <v>68</v>
      </c>
      <c r="I13" s="5" t="s">
        <v>68</v>
      </c>
      <c r="K13" s="129" t="s">
        <v>552</v>
      </c>
      <c r="L13" s="129" t="s">
        <v>552</v>
      </c>
      <c r="M13" s="8">
        <v>69</v>
      </c>
      <c r="N13" s="8">
        <v>75</v>
      </c>
      <c r="O13" s="8">
        <v>70</v>
      </c>
      <c r="P13" s="8">
        <v>63</v>
      </c>
      <c r="Q13" s="8">
        <v>94</v>
      </c>
      <c r="R13" s="8">
        <v>72</v>
      </c>
      <c r="S13" s="8">
        <v>74</v>
      </c>
      <c r="T13" s="8">
        <v>70</v>
      </c>
      <c r="U13" s="8">
        <v>72</v>
      </c>
    </row>
    <row r="14" spans="1:21" x14ac:dyDescent="0.35">
      <c r="A14" s="1" t="s">
        <v>39</v>
      </c>
      <c r="B14" s="5" t="s">
        <v>2</v>
      </c>
      <c r="D14" s="20" t="s">
        <v>201</v>
      </c>
      <c r="E14" s="23" t="s">
        <v>323</v>
      </c>
      <c r="F14" s="20" t="s">
        <v>325</v>
      </c>
      <c r="H14" s="16" t="s">
        <v>303</v>
      </c>
      <c r="I14" s="16">
        <v>83</v>
      </c>
      <c r="K14" s="129" t="s">
        <v>552</v>
      </c>
      <c r="L14" s="129" t="s">
        <v>552</v>
      </c>
      <c r="M14" s="5">
        <v>94</v>
      </c>
      <c r="N14" s="5">
        <v>116</v>
      </c>
      <c r="O14" s="5">
        <v>94</v>
      </c>
      <c r="P14" s="5">
        <v>71</v>
      </c>
      <c r="Q14" s="5">
        <v>94</v>
      </c>
      <c r="R14" s="5">
        <v>92</v>
      </c>
      <c r="S14" s="5">
        <v>94</v>
      </c>
      <c r="T14" s="5">
        <v>86</v>
      </c>
      <c r="U14" s="5">
        <v>97</v>
      </c>
    </row>
    <row r="15" spans="1:21" x14ac:dyDescent="0.35">
      <c r="A15" s="1" t="s">
        <v>40</v>
      </c>
      <c r="B15" s="5" t="s">
        <v>2</v>
      </c>
      <c r="D15" s="20" t="s">
        <v>203</v>
      </c>
      <c r="E15" s="20" t="s">
        <v>205</v>
      </c>
      <c r="F15" s="20" t="s">
        <v>263</v>
      </c>
      <c r="H15" s="12" t="s">
        <v>231</v>
      </c>
      <c r="I15" s="12">
        <v>-66</v>
      </c>
      <c r="K15" s="129" t="s">
        <v>552</v>
      </c>
      <c r="L15" s="129" t="s">
        <v>552</v>
      </c>
      <c r="M15" s="5">
        <v>94</v>
      </c>
      <c r="N15" s="5">
        <v>116</v>
      </c>
      <c r="O15" s="5">
        <v>94</v>
      </c>
      <c r="P15" s="5">
        <v>71</v>
      </c>
      <c r="Q15" s="5">
        <v>94</v>
      </c>
      <c r="R15" s="5">
        <v>92</v>
      </c>
      <c r="S15" s="5">
        <v>94</v>
      </c>
      <c r="T15" s="5">
        <v>86</v>
      </c>
      <c r="U15" s="5">
        <v>97</v>
      </c>
    </row>
    <row r="16" spans="1:21" x14ac:dyDescent="0.35">
      <c r="A16" s="1" t="s">
        <v>25</v>
      </c>
      <c r="B16" s="5" t="s">
        <v>2</v>
      </c>
      <c r="D16" s="20" t="s">
        <v>584</v>
      </c>
      <c r="E16" s="20" t="s">
        <v>391</v>
      </c>
      <c r="F16" s="20" t="s">
        <v>504</v>
      </c>
      <c r="H16" s="5" t="s">
        <v>68</v>
      </c>
      <c r="I16" s="5" t="s">
        <v>68</v>
      </c>
      <c r="K16" s="129" t="s">
        <v>552</v>
      </c>
      <c r="L16" s="129" t="s">
        <v>552</v>
      </c>
      <c r="M16" s="8">
        <v>87</v>
      </c>
      <c r="N16" s="8">
        <v>92</v>
      </c>
      <c r="O16" s="8">
        <v>85</v>
      </c>
      <c r="P16" s="8">
        <v>97</v>
      </c>
      <c r="Q16" s="8">
        <v>88</v>
      </c>
      <c r="R16" s="8">
        <v>94</v>
      </c>
      <c r="S16" s="8">
        <v>109</v>
      </c>
      <c r="T16" s="8">
        <v>96</v>
      </c>
      <c r="U16" s="8">
        <v>112</v>
      </c>
    </row>
    <row r="17" spans="1:21" x14ac:dyDescent="0.35">
      <c r="A17" s="1" t="s">
        <v>63</v>
      </c>
      <c r="B17" s="5" t="s">
        <v>2</v>
      </c>
      <c r="D17" s="88" t="s">
        <v>68</v>
      </c>
      <c r="E17" s="88" t="s">
        <v>68</v>
      </c>
      <c r="F17" s="88" t="s">
        <v>68</v>
      </c>
      <c r="H17" s="16" t="s">
        <v>309</v>
      </c>
      <c r="I17" s="209">
        <v>-58</v>
      </c>
      <c r="K17" s="129" t="s">
        <v>552</v>
      </c>
      <c r="L17" s="129" t="s">
        <v>552</v>
      </c>
      <c r="M17" s="5">
        <v>97</v>
      </c>
      <c r="N17" s="5">
        <v>112</v>
      </c>
      <c r="O17" s="5">
        <v>82</v>
      </c>
      <c r="P17" s="5">
        <v>85</v>
      </c>
      <c r="Q17" s="5">
        <v>97</v>
      </c>
      <c r="R17" s="5">
        <v>124</v>
      </c>
      <c r="S17" s="5">
        <v>118</v>
      </c>
      <c r="T17" s="5">
        <v>123</v>
      </c>
      <c r="U17" s="5">
        <v>118</v>
      </c>
    </row>
    <row r="18" spans="1:21" x14ac:dyDescent="0.35">
      <c r="A18" s="1" t="s">
        <v>65</v>
      </c>
      <c r="B18" s="5" t="s">
        <v>2</v>
      </c>
      <c r="D18" s="20" t="s">
        <v>207</v>
      </c>
      <c r="E18" s="20" t="s">
        <v>209</v>
      </c>
      <c r="F18" s="20" t="s">
        <v>287</v>
      </c>
      <c r="H18" s="16" t="s">
        <v>584</v>
      </c>
      <c r="I18" s="209">
        <v>0</v>
      </c>
      <c r="K18" s="129" t="s">
        <v>552</v>
      </c>
      <c r="L18" s="129" t="s">
        <v>552</v>
      </c>
      <c r="M18" s="8">
        <v>73</v>
      </c>
      <c r="N18" s="8">
        <v>84</v>
      </c>
      <c r="O18" s="8">
        <v>68</v>
      </c>
      <c r="P18" s="8">
        <v>86</v>
      </c>
      <c r="Q18" s="8">
        <v>69</v>
      </c>
      <c r="R18" s="8">
        <v>111</v>
      </c>
      <c r="S18" s="8">
        <v>91</v>
      </c>
      <c r="T18" s="8">
        <v>107</v>
      </c>
      <c r="U18" s="8">
        <v>103</v>
      </c>
    </row>
    <row r="19" spans="1:21" x14ac:dyDescent="0.35">
      <c r="A19" s="1" t="s">
        <v>67</v>
      </c>
      <c r="B19" s="5" t="s">
        <v>2</v>
      </c>
      <c r="D19" s="20" t="s">
        <v>289</v>
      </c>
      <c r="E19" s="20" t="s">
        <v>211</v>
      </c>
      <c r="F19" s="20" t="s">
        <v>229</v>
      </c>
      <c r="H19" s="5" t="s">
        <v>68</v>
      </c>
      <c r="I19" s="5" t="s">
        <v>68</v>
      </c>
      <c r="K19" s="126" t="s">
        <v>553</v>
      </c>
      <c r="L19" s="126" t="s">
        <v>569</v>
      </c>
      <c r="M19" s="5">
        <v>96</v>
      </c>
      <c r="N19" s="5">
        <v>95</v>
      </c>
      <c r="O19" s="5">
        <v>99</v>
      </c>
      <c r="P19" s="5">
        <v>98</v>
      </c>
      <c r="Q19" s="5">
        <v>105</v>
      </c>
      <c r="R19" s="5">
        <v>108</v>
      </c>
      <c r="S19" s="5">
        <v>100</v>
      </c>
      <c r="T19" s="5">
        <v>104</v>
      </c>
      <c r="U19" s="5">
        <v>94</v>
      </c>
    </row>
    <row r="20" spans="1:21" ht="15" thickBot="1" x14ac:dyDescent="0.4">
      <c r="A20" s="1" t="s">
        <v>26</v>
      </c>
      <c r="B20" s="5" t="s">
        <v>2</v>
      </c>
      <c r="D20" s="20" t="s">
        <v>215</v>
      </c>
      <c r="E20" s="20" t="s">
        <v>213</v>
      </c>
      <c r="F20" s="20" t="s">
        <v>292</v>
      </c>
      <c r="H20" s="16" t="s">
        <v>205</v>
      </c>
      <c r="I20" s="16">
        <v>-1</v>
      </c>
      <c r="K20" s="127" t="s">
        <v>552</v>
      </c>
      <c r="L20" s="127" t="s">
        <v>552</v>
      </c>
      <c r="M20" s="8">
        <v>93</v>
      </c>
      <c r="N20" s="8">
        <v>84</v>
      </c>
      <c r="O20" s="8">
        <v>98</v>
      </c>
      <c r="P20" s="8">
        <v>88</v>
      </c>
      <c r="Q20" s="8">
        <v>89</v>
      </c>
      <c r="R20" s="8">
        <v>94</v>
      </c>
      <c r="S20" s="53">
        <v>100</v>
      </c>
      <c r="T20" s="53">
        <v>101</v>
      </c>
      <c r="U20" s="53">
        <v>100</v>
      </c>
    </row>
    <row r="21" spans="1:21" s="191" customFormat="1" ht="3.5" customHeight="1" thickBot="1" x14ac:dyDescent="0.4">
      <c r="A21" s="3"/>
      <c r="B21" s="6"/>
      <c r="C21" s="212"/>
      <c r="D21" s="212"/>
      <c r="E21" s="212"/>
      <c r="F21" s="212"/>
      <c r="G21" s="212"/>
      <c r="H21" s="6"/>
      <c r="I21" s="6"/>
      <c r="J21" s="212"/>
      <c r="K21" s="133">
        <v>1</v>
      </c>
      <c r="L21" s="128" t="s">
        <v>552</v>
      </c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35">
      <c r="A22" s="1" t="s">
        <v>10</v>
      </c>
      <c r="B22" s="5" t="s">
        <v>3</v>
      </c>
      <c r="D22" s="72">
        <v>373</v>
      </c>
      <c r="E22" s="72">
        <v>263</v>
      </c>
      <c r="F22" s="83">
        <v>666</v>
      </c>
      <c r="H22" s="12" t="s">
        <v>205</v>
      </c>
      <c r="I22" s="12" t="s">
        <v>619</v>
      </c>
      <c r="K22" s="134">
        <v>1</v>
      </c>
      <c r="L22" s="129" t="s">
        <v>559</v>
      </c>
      <c r="M22" s="8">
        <v>100</v>
      </c>
      <c r="N22" s="8">
        <v>89</v>
      </c>
      <c r="O22" s="8">
        <v>105</v>
      </c>
      <c r="P22" s="8">
        <v>94</v>
      </c>
      <c r="Q22" s="8">
        <v>108</v>
      </c>
      <c r="R22" s="8" t="s">
        <v>68</v>
      </c>
      <c r="S22" s="8" t="s">
        <v>68</v>
      </c>
      <c r="T22" s="8" t="s">
        <v>68</v>
      </c>
      <c r="U22" s="8" t="s">
        <v>68</v>
      </c>
    </row>
    <row r="23" spans="1:21" x14ac:dyDescent="0.35">
      <c r="A23" s="1" t="s">
        <v>13</v>
      </c>
      <c r="B23" s="5" t="s">
        <v>3</v>
      </c>
      <c r="D23" s="8">
        <v>449</v>
      </c>
      <c r="E23" s="8">
        <v>408</v>
      </c>
      <c r="F23" s="5">
        <v>597</v>
      </c>
      <c r="H23" s="12" t="s">
        <v>360</v>
      </c>
      <c r="I23" s="12" t="s">
        <v>622</v>
      </c>
      <c r="K23" s="129" t="s">
        <v>552</v>
      </c>
      <c r="L23" s="129" t="s">
        <v>552</v>
      </c>
      <c r="M23" s="8">
        <v>105</v>
      </c>
      <c r="N23" s="8">
        <v>108</v>
      </c>
      <c r="O23" s="8">
        <v>116</v>
      </c>
      <c r="P23" s="8">
        <v>91</v>
      </c>
      <c r="Q23" s="8">
        <v>94</v>
      </c>
      <c r="R23" s="8">
        <v>124</v>
      </c>
      <c r="S23" s="8">
        <v>112</v>
      </c>
      <c r="T23" s="8">
        <v>110</v>
      </c>
      <c r="U23" s="8">
        <v>103</v>
      </c>
    </row>
    <row r="24" spans="1:21" x14ac:dyDescent="0.35">
      <c r="A24" s="1" t="s">
        <v>73</v>
      </c>
      <c r="B24" s="5" t="s">
        <v>3</v>
      </c>
      <c r="D24" s="8">
        <v>385</v>
      </c>
      <c r="E24" s="8">
        <v>449</v>
      </c>
      <c r="F24" s="5">
        <v>609</v>
      </c>
      <c r="H24" s="12" t="s">
        <v>301</v>
      </c>
      <c r="I24" s="12" t="s">
        <v>593</v>
      </c>
      <c r="K24" s="134">
        <v>0.98</v>
      </c>
      <c r="L24" s="129" t="s">
        <v>561</v>
      </c>
      <c r="M24" s="5">
        <v>115</v>
      </c>
      <c r="N24" s="5">
        <v>124</v>
      </c>
      <c r="O24" s="5">
        <v>106</v>
      </c>
      <c r="P24" s="5">
        <v>114</v>
      </c>
      <c r="Q24" s="5">
        <v>102</v>
      </c>
      <c r="R24" s="5">
        <v>114</v>
      </c>
      <c r="S24" s="5">
        <v>106</v>
      </c>
      <c r="T24" s="5">
        <v>119</v>
      </c>
      <c r="U24" s="5">
        <v>106</v>
      </c>
    </row>
    <row r="25" spans="1:21" x14ac:dyDescent="0.35">
      <c r="A25" s="1" t="s">
        <v>17</v>
      </c>
      <c r="B25" s="5" t="s">
        <v>3</v>
      </c>
      <c r="D25" s="8" t="s">
        <v>584</v>
      </c>
      <c r="E25" s="8">
        <v>439</v>
      </c>
      <c r="F25" s="5">
        <v>646</v>
      </c>
      <c r="H25" s="12" t="s">
        <v>371</v>
      </c>
      <c r="I25" s="12" t="s">
        <v>584</v>
      </c>
      <c r="K25" s="129" t="s">
        <v>552</v>
      </c>
      <c r="L25" s="129" t="s">
        <v>563</v>
      </c>
      <c r="M25" s="8">
        <v>103</v>
      </c>
      <c r="N25" s="8">
        <v>104</v>
      </c>
      <c r="O25" s="8">
        <v>106</v>
      </c>
      <c r="P25" s="8">
        <v>103</v>
      </c>
      <c r="Q25" s="8">
        <v>94</v>
      </c>
      <c r="R25" s="8">
        <v>102</v>
      </c>
      <c r="S25" s="8">
        <v>103</v>
      </c>
      <c r="T25" s="8">
        <v>98</v>
      </c>
      <c r="U25" s="8">
        <v>97</v>
      </c>
    </row>
    <row r="26" spans="1:21" x14ac:dyDescent="0.35">
      <c r="A26" s="1" t="s">
        <v>18</v>
      </c>
      <c r="B26" s="5" t="s">
        <v>3</v>
      </c>
      <c r="D26" s="8">
        <v>483</v>
      </c>
      <c r="E26" s="8">
        <v>459</v>
      </c>
      <c r="F26" s="5">
        <v>653</v>
      </c>
      <c r="H26" s="12" t="s">
        <v>68</v>
      </c>
      <c r="I26" s="5" t="s">
        <v>68</v>
      </c>
      <c r="K26" s="129" t="s">
        <v>552</v>
      </c>
      <c r="L26" s="129" t="s">
        <v>552</v>
      </c>
      <c r="M26" s="8">
        <v>93</v>
      </c>
      <c r="N26" s="8">
        <v>94</v>
      </c>
      <c r="O26" s="8">
        <v>92</v>
      </c>
      <c r="P26" s="8">
        <v>83</v>
      </c>
      <c r="Q26" s="8">
        <v>100</v>
      </c>
      <c r="R26" s="8">
        <v>79</v>
      </c>
      <c r="S26" s="8">
        <v>94</v>
      </c>
      <c r="T26" s="8">
        <v>84</v>
      </c>
      <c r="U26" s="8">
        <v>100</v>
      </c>
    </row>
    <row r="27" spans="1:21" x14ac:dyDescent="0.35">
      <c r="A27" s="1" t="s">
        <v>82</v>
      </c>
      <c r="B27" s="5" t="s">
        <v>3</v>
      </c>
      <c r="D27" s="8">
        <v>511</v>
      </c>
      <c r="E27" s="8">
        <v>381</v>
      </c>
      <c r="F27" s="5">
        <v>644</v>
      </c>
      <c r="H27" s="12" t="s">
        <v>375</v>
      </c>
      <c r="I27" s="5" t="s">
        <v>625</v>
      </c>
      <c r="K27" s="134">
        <v>1</v>
      </c>
      <c r="L27" s="129" t="s">
        <v>564</v>
      </c>
      <c r="M27" s="5">
        <v>94</v>
      </c>
      <c r="N27" s="5">
        <v>91</v>
      </c>
      <c r="O27" s="5">
        <v>98</v>
      </c>
      <c r="P27" s="5">
        <v>88</v>
      </c>
      <c r="Q27" s="5">
        <v>94</v>
      </c>
      <c r="R27" s="5">
        <v>114</v>
      </c>
      <c r="S27" s="5">
        <v>112</v>
      </c>
      <c r="T27" s="5">
        <v>110</v>
      </c>
      <c r="U27" s="5">
        <v>106</v>
      </c>
    </row>
    <row r="28" spans="1:21" x14ac:dyDescent="0.35">
      <c r="A28" s="1" t="s">
        <v>84</v>
      </c>
      <c r="B28" s="5" t="s">
        <v>3</v>
      </c>
      <c r="D28" s="8">
        <v>482</v>
      </c>
      <c r="E28" s="8">
        <v>384</v>
      </c>
      <c r="F28" s="5">
        <v>615</v>
      </c>
      <c r="H28" s="12" t="s">
        <v>294</v>
      </c>
      <c r="I28" s="12" t="s">
        <v>628</v>
      </c>
      <c r="K28" s="129" t="s">
        <v>567</v>
      </c>
      <c r="L28" s="129" t="s">
        <v>567</v>
      </c>
      <c r="M28" s="8">
        <v>104</v>
      </c>
      <c r="N28" s="8">
        <v>110</v>
      </c>
      <c r="O28" s="8">
        <v>106</v>
      </c>
      <c r="P28" s="8">
        <v>91</v>
      </c>
      <c r="Q28" s="8">
        <v>102</v>
      </c>
      <c r="R28" s="8">
        <v>114</v>
      </c>
      <c r="S28" s="8">
        <v>109</v>
      </c>
      <c r="T28" s="8">
        <v>119</v>
      </c>
      <c r="U28" s="8">
        <v>109</v>
      </c>
    </row>
    <row r="29" spans="1:21" x14ac:dyDescent="0.35">
      <c r="A29" s="1" t="s">
        <v>101</v>
      </c>
      <c r="B29" s="5" t="s">
        <v>3</v>
      </c>
      <c r="D29" s="8">
        <v>437</v>
      </c>
      <c r="E29" s="8">
        <v>385</v>
      </c>
      <c r="F29" s="5">
        <v>656</v>
      </c>
      <c r="H29" s="12" t="s">
        <v>68</v>
      </c>
      <c r="I29" s="12" t="s">
        <v>68</v>
      </c>
      <c r="K29" s="134">
        <v>1</v>
      </c>
      <c r="L29" s="129" t="s">
        <v>568</v>
      </c>
      <c r="M29" s="62">
        <v>76</v>
      </c>
      <c r="N29" s="62">
        <v>84</v>
      </c>
      <c r="O29" s="62">
        <v>76</v>
      </c>
      <c r="P29" s="62">
        <v>74</v>
      </c>
      <c r="Q29" s="62">
        <v>89</v>
      </c>
      <c r="R29" s="8">
        <v>94</v>
      </c>
      <c r="S29" s="8">
        <v>103</v>
      </c>
      <c r="T29" s="8">
        <v>89</v>
      </c>
      <c r="U29" s="8">
        <v>97</v>
      </c>
    </row>
    <row r="30" spans="1:21" x14ac:dyDescent="0.35">
      <c r="A30" s="1" t="s">
        <v>106</v>
      </c>
      <c r="B30" s="5" t="s">
        <v>3</v>
      </c>
      <c r="D30" s="8" t="s">
        <v>584</v>
      </c>
      <c r="E30" s="8">
        <v>500</v>
      </c>
      <c r="F30" s="5" t="s">
        <v>584</v>
      </c>
      <c r="H30" s="12" t="s">
        <v>68</v>
      </c>
      <c r="I30" s="12" t="s">
        <v>68</v>
      </c>
      <c r="K30" s="129" t="s">
        <v>552</v>
      </c>
      <c r="L30" s="129" t="s">
        <v>552</v>
      </c>
      <c r="M30" s="8">
        <v>100</v>
      </c>
      <c r="N30" s="8">
        <v>122</v>
      </c>
      <c r="O30" s="8">
        <v>80</v>
      </c>
      <c r="P30" s="8">
        <v>109</v>
      </c>
      <c r="Q30" s="8">
        <v>89</v>
      </c>
      <c r="R30" s="8">
        <v>94</v>
      </c>
      <c r="S30" s="8">
        <v>94</v>
      </c>
      <c r="T30" s="8">
        <v>104</v>
      </c>
      <c r="U30" s="8">
        <v>94</v>
      </c>
    </row>
    <row r="31" spans="1:21" x14ac:dyDescent="0.35">
      <c r="A31" s="1" t="s">
        <v>107</v>
      </c>
      <c r="B31" s="5" t="s">
        <v>3</v>
      </c>
      <c r="D31" s="8">
        <v>335</v>
      </c>
      <c r="E31" s="8" t="s">
        <v>584</v>
      </c>
      <c r="F31" s="5" t="s">
        <v>584</v>
      </c>
      <c r="H31" s="12" t="s">
        <v>68</v>
      </c>
      <c r="I31" s="12" t="s">
        <v>68</v>
      </c>
      <c r="K31" s="129" t="s">
        <v>552</v>
      </c>
      <c r="L31" s="129" t="s">
        <v>552</v>
      </c>
      <c r="M31" s="5" t="s">
        <v>350</v>
      </c>
      <c r="N31" s="5" t="s">
        <v>350</v>
      </c>
      <c r="O31" s="5" t="s">
        <v>350</v>
      </c>
      <c r="P31" s="5" t="s">
        <v>350</v>
      </c>
      <c r="Q31" s="5" t="s">
        <v>350</v>
      </c>
      <c r="R31" s="5" t="s">
        <v>350</v>
      </c>
      <c r="S31" s="5" t="s">
        <v>350</v>
      </c>
      <c r="T31" s="5" t="s">
        <v>350</v>
      </c>
      <c r="U31" s="5" t="s">
        <v>350</v>
      </c>
    </row>
    <row r="32" spans="1:21" x14ac:dyDescent="0.35">
      <c r="A32" s="1" t="s">
        <v>108</v>
      </c>
      <c r="B32" s="5" t="s">
        <v>3</v>
      </c>
      <c r="D32" s="8">
        <v>459</v>
      </c>
      <c r="E32" s="8">
        <v>332</v>
      </c>
      <c r="F32" s="5">
        <v>671</v>
      </c>
      <c r="H32" s="12" t="s">
        <v>301</v>
      </c>
      <c r="I32" s="12" t="s">
        <v>584</v>
      </c>
      <c r="K32" s="134">
        <v>1</v>
      </c>
      <c r="L32" s="129" t="s">
        <v>570</v>
      </c>
      <c r="M32" s="5" t="s">
        <v>350</v>
      </c>
      <c r="N32" s="5" t="s">
        <v>350</v>
      </c>
      <c r="O32" s="5" t="s">
        <v>350</v>
      </c>
      <c r="P32" s="5" t="s">
        <v>350</v>
      </c>
      <c r="Q32" s="5" t="s">
        <v>350</v>
      </c>
      <c r="R32" s="5" t="s">
        <v>350</v>
      </c>
      <c r="S32" s="5" t="s">
        <v>350</v>
      </c>
      <c r="T32" s="5" t="s">
        <v>350</v>
      </c>
      <c r="U32" s="5" t="s">
        <v>350</v>
      </c>
    </row>
    <row r="33" spans="1:21" ht="15" thickBot="1" x14ac:dyDescent="0.4">
      <c r="A33" s="1" t="s">
        <v>110</v>
      </c>
      <c r="B33" s="5" t="s">
        <v>3</v>
      </c>
      <c r="D33" s="8" t="s">
        <v>584</v>
      </c>
      <c r="E33" s="8">
        <v>449</v>
      </c>
      <c r="F33" s="5">
        <v>707</v>
      </c>
      <c r="H33" s="12" t="s">
        <v>68</v>
      </c>
      <c r="I33" s="12" t="s">
        <v>68</v>
      </c>
      <c r="K33" s="158">
        <v>0.93</v>
      </c>
      <c r="L33" s="159" t="s">
        <v>552</v>
      </c>
      <c r="N33" s="5">
        <v>126</v>
      </c>
      <c r="O33" s="5">
        <v>74</v>
      </c>
      <c r="P33" s="5">
        <v>103</v>
      </c>
      <c r="Q33" s="5">
        <v>84</v>
      </c>
      <c r="R33" s="5">
        <v>82</v>
      </c>
      <c r="S33" s="5">
        <v>94</v>
      </c>
      <c r="T33" s="5">
        <v>86</v>
      </c>
      <c r="U33" s="5">
        <v>94</v>
      </c>
    </row>
    <row r="34" spans="1:21" x14ac:dyDescent="0.35">
      <c r="A34" s="1" t="s">
        <v>112</v>
      </c>
      <c r="B34" s="5" t="s">
        <v>3</v>
      </c>
      <c r="D34" s="88" t="s">
        <v>68</v>
      </c>
      <c r="E34" s="88" t="s">
        <v>68</v>
      </c>
      <c r="F34" s="88" t="s">
        <v>68</v>
      </c>
      <c r="H34" s="88" t="s">
        <v>584</v>
      </c>
      <c r="I34" s="12" t="s">
        <v>584</v>
      </c>
      <c r="K34" s="128" t="s">
        <v>552</v>
      </c>
      <c r="L34" s="128" t="s">
        <v>552</v>
      </c>
      <c r="M34" s="8">
        <v>79</v>
      </c>
      <c r="N34" s="8">
        <v>84</v>
      </c>
      <c r="O34" s="8">
        <v>74</v>
      </c>
      <c r="P34" s="8">
        <v>94</v>
      </c>
      <c r="Q34" s="8">
        <v>84</v>
      </c>
      <c r="R34" s="8">
        <v>108</v>
      </c>
      <c r="S34" s="8">
        <v>91</v>
      </c>
      <c r="T34" s="8">
        <v>96</v>
      </c>
      <c r="U34" s="8">
        <v>91</v>
      </c>
    </row>
    <row r="35" spans="1:21" s="191" customFormat="1" ht="2" customHeight="1" thickBot="1" x14ac:dyDescent="0.4">
      <c r="A35" s="3"/>
      <c r="B35" s="6"/>
      <c r="C35" s="212"/>
      <c r="D35" s="212"/>
      <c r="E35" s="212"/>
      <c r="F35" s="212"/>
      <c r="G35" s="212"/>
      <c r="H35" s="6"/>
      <c r="I35" s="6"/>
      <c r="J35" s="212"/>
      <c r="K35" s="126" t="s">
        <v>553</v>
      </c>
      <c r="L35" s="126" t="s">
        <v>554</v>
      </c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35">
      <c r="A36" s="1" t="s">
        <v>28</v>
      </c>
      <c r="B36" s="5" t="s">
        <v>1</v>
      </c>
      <c r="D36" s="72" t="s">
        <v>584</v>
      </c>
      <c r="E36" s="72">
        <v>458</v>
      </c>
      <c r="F36" s="83">
        <v>649</v>
      </c>
      <c r="H36" s="12" t="s">
        <v>495</v>
      </c>
      <c r="I36" s="12" t="s">
        <v>630</v>
      </c>
      <c r="K36" s="128" t="s">
        <v>552</v>
      </c>
      <c r="L36" s="128" t="s">
        <v>552</v>
      </c>
      <c r="M36" s="5">
        <v>89</v>
      </c>
      <c r="N36" s="5">
        <v>106</v>
      </c>
      <c r="O36" s="5">
        <v>76</v>
      </c>
      <c r="P36" s="5">
        <v>100</v>
      </c>
      <c r="Q36" s="5">
        <v>84</v>
      </c>
      <c r="R36" s="5">
        <v>97</v>
      </c>
      <c r="S36" s="5">
        <v>97</v>
      </c>
      <c r="T36" s="5">
        <v>98</v>
      </c>
      <c r="U36" s="5">
        <v>109</v>
      </c>
    </row>
    <row r="37" spans="1:21" x14ac:dyDescent="0.35">
      <c r="A37" s="1" t="s">
        <v>6</v>
      </c>
      <c r="B37" s="5" t="s">
        <v>1</v>
      </c>
      <c r="D37" s="8" t="s">
        <v>584</v>
      </c>
      <c r="E37" s="8">
        <v>426</v>
      </c>
      <c r="F37" s="5">
        <v>619</v>
      </c>
      <c r="H37" s="12" t="s">
        <v>385</v>
      </c>
      <c r="I37" s="12" t="s">
        <v>584</v>
      </c>
      <c r="K37" s="134">
        <v>0.98</v>
      </c>
      <c r="L37" s="129" t="s">
        <v>560</v>
      </c>
      <c r="M37" s="5">
        <v>96</v>
      </c>
      <c r="N37" s="8">
        <v>98</v>
      </c>
      <c r="O37" s="8">
        <v>100</v>
      </c>
      <c r="P37" s="8">
        <v>91</v>
      </c>
      <c r="Q37" s="8">
        <v>94</v>
      </c>
      <c r="R37" s="8">
        <v>105</v>
      </c>
      <c r="S37" s="8">
        <v>123</v>
      </c>
      <c r="T37" s="8">
        <v>101</v>
      </c>
      <c r="U37" s="8">
        <v>115</v>
      </c>
    </row>
    <row r="38" spans="1:21" x14ac:dyDescent="0.35">
      <c r="A38" s="1" t="s">
        <v>7</v>
      </c>
      <c r="B38" s="5" t="s">
        <v>1</v>
      </c>
      <c r="D38" s="8">
        <v>364</v>
      </c>
      <c r="E38" s="8">
        <v>284</v>
      </c>
      <c r="F38" s="5">
        <v>635</v>
      </c>
      <c r="H38" s="12" t="s">
        <v>391</v>
      </c>
      <c r="I38" s="12" t="s">
        <v>584</v>
      </c>
      <c r="K38" s="129" t="s">
        <v>552</v>
      </c>
      <c r="L38" s="129" t="s">
        <v>552</v>
      </c>
      <c r="M38" s="8">
        <v>122</v>
      </c>
      <c r="N38" s="8">
        <v>116</v>
      </c>
      <c r="O38" s="8">
        <v>124</v>
      </c>
      <c r="P38" s="8">
        <v>120</v>
      </c>
      <c r="Q38" s="8">
        <v>105</v>
      </c>
      <c r="R38" s="8">
        <v>105</v>
      </c>
      <c r="S38" s="8">
        <v>103</v>
      </c>
      <c r="T38" s="8">
        <v>104</v>
      </c>
      <c r="U38" s="8">
        <v>103</v>
      </c>
    </row>
    <row r="39" spans="1:21" x14ac:dyDescent="0.35">
      <c r="A39" s="1" t="s">
        <v>15</v>
      </c>
      <c r="B39" s="5" t="s">
        <v>1</v>
      </c>
      <c r="D39" s="8" t="s">
        <v>584</v>
      </c>
      <c r="E39" s="8">
        <v>398</v>
      </c>
      <c r="F39" s="5">
        <v>728</v>
      </c>
      <c r="H39" s="12" t="s">
        <v>584</v>
      </c>
      <c r="I39" s="12" t="s">
        <v>584</v>
      </c>
      <c r="K39" s="134">
        <v>0.98</v>
      </c>
      <c r="L39" s="129" t="s">
        <v>561</v>
      </c>
      <c r="M39" s="8">
        <v>106</v>
      </c>
      <c r="N39" s="8">
        <v>106</v>
      </c>
      <c r="O39" s="8">
        <v>110</v>
      </c>
      <c r="P39" s="8">
        <v>100</v>
      </c>
      <c r="Q39" s="8">
        <v>102</v>
      </c>
      <c r="R39" s="8">
        <v>99</v>
      </c>
      <c r="S39" s="8">
        <v>88</v>
      </c>
      <c r="T39" s="8">
        <v>96</v>
      </c>
      <c r="U39" s="8">
        <v>88</v>
      </c>
    </row>
    <row r="40" spans="1:21" x14ac:dyDescent="0.35">
      <c r="A40" s="1" t="s">
        <v>75</v>
      </c>
      <c r="B40" s="5" t="s">
        <v>1</v>
      </c>
      <c r="D40" s="8">
        <v>551</v>
      </c>
      <c r="E40" s="8">
        <v>397</v>
      </c>
      <c r="F40" s="5">
        <v>699</v>
      </c>
      <c r="H40" s="12" t="s">
        <v>396</v>
      </c>
      <c r="I40" s="12" t="s">
        <v>584</v>
      </c>
      <c r="K40" s="129" t="s">
        <v>552</v>
      </c>
      <c r="L40" s="129" t="s">
        <v>562</v>
      </c>
      <c r="M40" s="5">
        <v>50</v>
      </c>
      <c r="N40" s="5">
        <v>63</v>
      </c>
      <c r="O40" s="5">
        <v>64</v>
      </c>
      <c r="P40" s="5">
        <v>55</v>
      </c>
      <c r="Q40" s="5">
        <v>55</v>
      </c>
      <c r="R40" s="5">
        <v>89</v>
      </c>
      <c r="S40" s="5">
        <v>100</v>
      </c>
      <c r="T40" s="5">
        <v>84</v>
      </c>
      <c r="U40" s="5">
        <v>100</v>
      </c>
    </row>
    <row r="41" spans="1:21" x14ac:dyDescent="0.35">
      <c r="A41" s="1" t="s">
        <v>16</v>
      </c>
      <c r="B41" s="5" t="s">
        <v>1</v>
      </c>
      <c r="D41" s="8">
        <v>496</v>
      </c>
      <c r="E41" s="8">
        <v>472</v>
      </c>
      <c r="F41" s="5" t="s">
        <v>584</v>
      </c>
      <c r="H41" s="12" t="s">
        <v>401</v>
      </c>
      <c r="I41" s="12" t="s">
        <v>584</v>
      </c>
      <c r="K41" s="129" t="s">
        <v>552</v>
      </c>
      <c r="L41" s="129" t="s">
        <v>563</v>
      </c>
      <c r="M41" s="8">
        <v>103</v>
      </c>
      <c r="N41" s="8">
        <v>104</v>
      </c>
      <c r="O41" s="8">
        <v>106</v>
      </c>
      <c r="P41" s="8">
        <v>103</v>
      </c>
      <c r="Q41" s="8">
        <v>94</v>
      </c>
      <c r="R41" s="8">
        <v>102</v>
      </c>
      <c r="S41" s="8">
        <v>103</v>
      </c>
      <c r="T41" s="8">
        <v>98</v>
      </c>
      <c r="U41" s="8">
        <v>97</v>
      </c>
    </row>
    <row r="42" spans="1:21" x14ac:dyDescent="0.35">
      <c r="A42" s="1" t="s">
        <v>78</v>
      </c>
      <c r="B42" s="5" t="s">
        <v>1</v>
      </c>
      <c r="D42" s="8" t="s">
        <v>584</v>
      </c>
      <c r="E42" s="8">
        <v>547</v>
      </c>
      <c r="F42" s="5">
        <v>829</v>
      </c>
      <c r="H42" s="12" t="s">
        <v>584</v>
      </c>
      <c r="I42" s="12" t="s">
        <v>584</v>
      </c>
      <c r="K42" s="129" t="s">
        <v>552</v>
      </c>
      <c r="L42" s="129" t="s">
        <v>552</v>
      </c>
      <c r="M42" s="5">
        <v>73</v>
      </c>
      <c r="N42" s="5">
        <v>75</v>
      </c>
      <c r="O42" s="5">
        <v>82</v>
      </c>
      <c r="P42" s="5">
        <v>71</v>
      </c>
      <c r="Q42" s="5">
        <v>86</v>
      </c>
      <c r="R42" s="5">
        <v>94</v>
      </c>
      <c r="S42" s="5">
        <v>97</v>
      </c>
      <c r="T42" s="5">
        <v>96</v>
      </c>
      <c r="U42" s="5">
        <v>100</v>
      </c>
    </row>
    <row r="43" spans="1:21" x14ac:dyDescent="0.35">
      <c r="A43" s="1" t="s">
        <v>19</v>
      </c>
      <c r="B43" s="5" t="s">
        <v>1</v>
      </c>
      <c r="D43" s="8">
        <v>381</v>
      </c>
      <c r="E43" s="8">
        <v>399</v>
      </c>
      <c r="F43" s="5">
        <v>766</v>
      </c>
      <c r="H43" s="12" t="s">
        <v>584</v>
      </c>
      <c r="I43" s="12" t="s">
        <v>584</v>
      </c>
      <c r="K43" s="129" t="s">
        <v>552</v>
      </c>
      <c r="L43" s="129" t="s">
        <v>552</v>
      </c>
      <c r="M43" s="8">
        <v>93</v>
      </c>
      <c r="N43" s="8">
        <v>94</v>
      </c>
      <c r="O43" s="8">
        <v>92</v>
      </c>
      <c r="P43" s="8">
        <v>83</v>
      </c>
      <c r="Q43" s="8">
        <v>100</v>
      </c>
      <c r="R43" s="8">
        <v>79</v>
      </c>
      <c r="S43" s="8">
        <v>94</v>
      </c>
      <c r="T43" s="8">
        <v>84</v>
      </c>
      <c r="U43" s="8">
        <v>100</v>
      </c>
    </row>
    <row r="44" spans="1:21" x14ac:dyDescent="0.35">
      <c r="A44" s="1" t="s">
        <v>20</v>
      </c>
      <c r="B44" s="5" t="s">
        <v>1</v>
      </c>
      <c r="D44" s="8">
        <v>434</v>
      </c>
      <c r="E44" s="8">
        <v>336</v>
      </c>
      <c r="F44" s="5">
        <v>645</v>
      </c>
      <c r="H44" s="12" t="s">
        <v>68</v>
      </c>
      <c r="I44" s="12" t="s">
        <v>68</v>
      </c>
      <c r="K44" s="129" t="s">
        <v>552</v>
      </c>
      <c r="L44" s="129" t="s">
        <v>552</v>
      </c>
      <c r="M44" s="8">
        <v>92</v>
      </c>
      <c r="N44" s="8">
        <v>104</v>
      </c>
      <c r="O44" s="8">
        <v>80</v>
      </c>
      <c r="P44" s="8">
        <v>85</v>
      </c>
      <c r="Q44" s="8">
        <v>108</v>
      </c>
      <c r="R44" s="8">
        <v>94</v>
      </c>
      <c r="S44" s="8">
        <v>79</v>
      </c>
      <c r="T44" s="8">
        <v>96</v>
      </c>
      <c r="U44" s="8">
        <v>100</v>
      </c>
    </row>
    <row r="45" spans="1:21" x14ac:dyDescent="0.35">
      <c r="A45" s="1" t="s">
        <v>21</v>
      </c>
      <c r="B45" s="5" t="s">
        <v>1</v>
      </c>
      <c r="D45" s="8">
        <v>477</v>
      </c>
      <c r="E45" s="8">
        <v>394</v>
      </c>
      <c r="F45" s="5">
        <v>676</v>
      </c>
      <c r="H45" s="12" t="s">
        <v>68</v>
      </c>
      <c r="I45" s="12" t="s">
        <v>68</v>
      </c>
      <c r="K45" s="134">
        <v>1</v>
      </c>
      <c r="L45" s="129" t="s">
        <v>564</v>
      </c>
      <c r="M45" s="8">
        <v>92</v>
      </c>
      <c r="N45" s="8">
        <v>104</v>
      </c>
      <c r="O45" s="8">
        <v>80</v>
      </c>
      <c r="P45" s="8">
        <v>85</v>
      </c>
      <c r="Q45" s="8">
        <v>108</v>
      </c>
      <c r="R45" s="8">
        <v>94</v>
      </c>
      <c r="S45" s="8">
        <v>79</v>
      </c>
      <c r="T45" s="8">
        <v>96</v>
      </c>
      <c r="U45" s="8">
        <v>100</v>
      </c>
    </row>
    <row r="46" spans="1:21" x14ac:dyDescent="0.35">
      <c r="A46" s="1" t="s">
        <v>32</v>
      </c>
      <c r="B46" s="5" t="s">
        <v>1</v>
      </c>
      <c r="D46" s="8">
        <v>352</v>
      </c>
      <c r="E46" s="8">
        <v>484</v>
      </c>
      <c r="F46" s="5">
        <v>588</v>
      </c>
      <c r="H46" s="12" t="s">
        <v>193</v>
      </c>
      <c r="I46" s="12" t="s">
        <v>584</v>
      </c>
      <c r="K46" s="126" t="s">
        <v>558</v>
      </c>
      <c r="L46" s="126" t="s">
        <v>565</v>
      </c>
      <c r="M46" s="8">
        <v>137</v>
      </c>
      <c r="N46" s="8">
        <v>139</v>
      </c>
      <c r="O46" s="8">
        <v>128</v>
      </c>
      <c r="P46" s="8">
        <v>112</v>
      </c>
      <c r="Q46" s="8">
        <v>137</v>
      </c>
      <c r="R46" s="8">
        <v>136</v>
      </c>
      <c r="S46" s="8">
        <v>115</v>
      </c>
      <c r="T46" s="8">
        <v>132</v>
      </c>
      <c r="U46" s="8">
        <v>118</v>
      </c>
    </row>
    <row r="47" spans="1:21" x14ac:dyDescent="0.35">
      <c r="A47" s="1" t="s">
        <v>83</v>
      </c>
      <c r="B47" s="5" t="s">
        <v>1</v>
      </c>
      <c r="D47" s="8">
        <v>515</v>
      </c>
      <c r="E47" s="8">
        <v>402</v>
      </c>
      <c r="F47" s="5">
        <v>597</v>
      </c>
      <c r="H47" s="12" t="s">
        <v>373</v>
      </c>
      <c r="I47" s="12" t="s">
        <v>636</v>
      </c>
      <c r="K47" s="129" t="s">
        <v>552</v>
      </c>
      <c r="L47" s="129" t="s">
        <v>552</v>
      </c>
      <c r="M47" s="8">
        <v>104</v>
      </c>
      <c r="N47" s="8">
        <v>110</v>
      </c>
      <c r="O47" s="8">
        <v>106</v>
      </c>
      <c r="P47" s="8">
        <v>91</v>
      </c>
      <c r="Q47" s="8">
        <v>102</v>
      </c>
      <c r="R47" s="8">
        <v>114</v>
      </c>
      <c r="S47" s="8">
        <v>109</v>
      </c>
      <c r="T47" s="8">
        <v>119</v>
      </c>
      <c r="U47" s="8">
        <v>109</v>
      </c>
    </row>
    <row r="48" spans="1:21" x14ac:dyDescent="0.35">
      <c r="A48" s="1" t="s">
        <v>34</v>
      </c>
      <c r="B48" s="5" t="s">
        <v>1</v>
      </c>
      <c r="D48" s="8">
        <v>347</v>
      </c>
      <c r="E48" s="8">
        <v>471</v>
      </c>
      <c r="F48" s="5">
        <v>676</v>
      </c>
      <c r="H48" s="12" t="s">
        <v>584</v>
      </c>
      <c r="I48" s="12" t="s">
        <v>584</v>
      </c>
      <c r="K48" s="129" t="s">
        <v>552</v>
      </c>
      <c r="L48" s="129" t="s">
        <v>552</v>
      </c>
      <c r="M48" s="8">
        <v>99</v>
      </c>
      <c r="N48" s="8">
        <v>86</v>
      </c>
      <c r="O48" s="8">
        <v>110</v>
      </c>
      <c r="P48" s="8">
        <v>85</v>
      </c>
      <c r="Q48" s="8">
        <v>117</v>
      </c>
      <c r="R48" s="8">
        <v>114</v>
      </c>
      <c r="S48" s="8">
        <v>126</v>
      </c>
      <c r="T48" s="8">
        <v>107</v>
      </c>
      <c r="U48" s="8">
        <v>121</v>
      </c>
    </row>
    <row r="49" spans="1:21" x14ac:dyDescent="0.35">
      <c r="A49" s="1" t="s">
        <v>22</v>
      </c>
      <c r="B49" s="5" t="s">
        <v>1</v>
      </c>
      <c r="D49" s="8" t="s">
        <v>584</v>
      </c>
      <c r="E49" s="8" t="s">
        <v>584</v>
      </c>
      <c r="F49" s="5" t="s">
        <v>584</v>
      </c>
      <c r="H49" s="12" t="s">
        <v>584</v>
      </c>
      <c r="I49" s="12" t="s">
        <v>584</v>
      </c>
      <c r="K49" s="134">
        <v>0.94</v>
      </c>
      <c r="L49" s="129" t="s">
        <v>566</v>
      </c>
      <c r="M49" s="8"/>
      <c r="N49" s="8"/>
      <c r="O49" s="8"/>
      <c r="P49" s="8"/>
      <c r="Q49" s="8"/>
      <c r="R49" s="8"/>
      <c r="S49" s="8"/>
      <c r="T49" s="8"/>
      <c r="U49" s="8"/>
    </row>
    <row r="50" spans="1:21" x14ac:dyDescent="0.35">
      <c r="A50" s="1" t="s">
        <v>23</v>
      </c>
      <c r="B50" s="5" t="s">
        <v>1</v>
      </c>
      <c r="D50" s="8" t="s">
        <v>584</v>
      </c>
      <c r="E50" s="8">
        <v>382</v>
      </c>
      <c r="F50" s="5">
        <v>579</v>
      </c>
      <c r="H50" s="12" t="s">
        <v>68</v>
      </c>
      <c r="I50" s="12" t="s">
        <v>68</v>
      </c>
      <c r="K50" s="129" t="s">
        <v>552</v>
      </c>
      <c r="L50" s="129" t="s">
        <v>552</v>
      </c>
      <c r="M50" s="8"/>
      <c r="N50" s="8"/>
      <c r="O50" s="8"/>
      <c r="P50" s="8"/>
      <c r="Q50" s="8"/>
      <c r="R50" s="8"/>
      <c r="S50" s="8"/>
      <c r="T50" s="8"/>
      <c r="U50" s="8"/>
    </row>
    <row r="51" spans="1:21" x14ac:dyDescent="0.35">
      <c r="A51" s="1" t="s">
        <v>88</v>
      </c>
      <c r="B51" s="5" t="s">
        <v>1</v>
      </c>
      <c r="D51" s="8">
        <v>465</v>
      </c>
      <c r="E51" s="8">
        <v>418</v>
      </c>
      <c r="F51" s="5">
        <v>668</v>
      </c>
      <c r="H51" s="12" t="s">
        <v>584</v>
      </c>
      <c r="I51" s="12" t="s">
        <v>584</v>
      </c>
      <c r="K51" s="129" t="s">
        <v>552</v>
      </c>
      <c r="L51" s="129" t="s">
        <v>552</v>
      </c>
      <c r="M51" s="8">
        <v>78</v>
      </c>
      <c r="N51" s="8">
        <v>88</v>
      </c>
      <c r="O51" s="8">
        <v>88</v>
      </c>
      <c r="P51" s="8">
        <v>83</v>
      </c>
      <c r="Q51" s="8">
        <v>66</v>
      </c>
      <c r="R51" s="8">
        <v>94</v>
      </c>
      <c r="S51" s="8">
        <v>100</v>
      </c>
      <c r="T51" s="8">
        <v>94</v>
      </c>
      <c r="U51" s="8">
        <v>97</v>
      </c>
    </row>
    <row r="52" spans="1:21" x14ac:dyDescent="0.35">
      <c r="A52" s="1" t="s">
        <v>89</v>
      </c>
      <c r="B52" s="5" t="s">
        <v>1</v>
      </c>
      <c r="D52" s="8">
        <v>400</v>
      </c>
      <c r="E52" s="8">
        <v>428</v>
      </c>
      <c r="F52" s="5">
        <v>631</v>
      </c>
      <c r="H52" s="12" t="s">
        <v>68</v>
      </c>
      <c r="I52" s="12" t="s">
        <v>68</v>
      </c>
      <c r="K52" s="129" t="s">
        <v>552</v>
      </c>
      <c r="L52" s="129" t="s">
        <v>552</v>
      </c>
      <c r="M52" s="8">
        <v>78</v>
      </c>
      <c r="N52" s="8">
        <v>88</v>
      </c>
      <c r="O52" s="8">
        <v>88</v>
      </c>
      <c r="P52" s="8">
        <v>83</v>
      </c>
      <c r="Q52" s="8">
        <v>66</v>
      </c>
      <c r="R52" s="8">
        <v>94</v>
      </c>
      <c r="S52" s="8">
        <v>100</v>
      </c>
      <c r="T52" s="8">
        <v>94</v>
      </c>
      <c r="U52" s="8">
        <v>97</v>
      </c>
    </row>
    <row r="53" spans="1:21" x14ac:dyDescent="0.35">
      <c r="A53" s="1" t="s">
        <v>36</v>
      </c>
      <c r="B53" s="5" t="s">
        <v>1</v>
      </c>
      <c r="D53" s="8">
        <v>494</v>
      </c>
      <c r="E53" s="8">
        <v>473</v>
      </c>
      <c r="F53" s="5">
        <v>795</v>
      </c>
      <c r="H53" s="12" t="s">
        <v>418</v>
      </c>
      <c r="I53" s="12" t="s">
        <v>584</v>
      </c>
      <c r="K53" s="129" t="s">
        <v>552</v>
      </c>
      <c r="L53" s="129" t="s">
        <v>552</v>
      </c>
      <c r="M53" s="8">
        <v>61</v>
      </c>
      <c r="N53" s="8">
        <v>61</v>
      </c>
      <c r="O53" s="8">
        <v>78</v>
      </c>
      <c r="P53" s="8">
        <v>63</v>
      </c>
      <c r="Q53" s="8">
        <v>72</v>
      </c>
      <c r="R53" s="8">
        <v>70</v>
      </c>
      <c r="S53" s="8">
        <v>71</v>
      </c>
      <c r="T53" s="8">
        <v>74</v>
      </c>
      <c r="U53" s="8">
        <v>60</v>
      </c>
    </row>
    <row r="54" spans="1:21" x14ac:dyDescent="0.35">
      <c r="A54" s="1" t="s">
        <v>24</v>
      </c>
      <c r="B54" s="5" t="s">
        <v>1</v>
      </c>
      <c r="D54" s="8" t="s">
        <v>584</v>
      </c>
      <c r="E54" s="8">
        <v>420</v>
      </c>
      <c r="F54" s="5">
        <v>676</v>
      </c>
      <c r="H54" s="12" t="s">
        <v>502</v>
      </c>
      <c r="I54" s="12" t="s">
        <v>584</v>
      </c>
      <c r="K54" s="129" t="s">
        <v>552</v>
      </c>
      <c r="L54" s="129" t="s">
        <v>552</v>
      </c>
      <c r="M54" s="8">
        <v>87</v>
      </c>
      <c r="N54" s="8">
        <v>92</v>
      </c>
      <c r="O54" s="8">
        <v>85</v>
      </c>
      <c r="P54" s="8">
        <v>97</v>
      </c>
      <c r="Q54" s="8">
        <v>88</v>
      </c>
      <c r="R54" s="8">
        <v>94</v>
      </c>
      <c r="S54" s="8">
        <v>109</v>
      </c>
      <c r="T54" s="8">
        <v>96</v>
      </c>
      <c r="U54" s="8">
        <v>112</v>
      </c>
    </row>
    <row r="55" spans="1:21" x14ac:dyDescent="0.35">
      <c r="A55" s="1" t="s">
        <v>95</v>
      </c>
      <c r="B55" s="5" t="s">
        <v>1</v>
      </c>
      <c r="D55" s="8">
        <v>421</v>
      </c>
      <c r="E55" s="8">
        <v>431</v>
      </c>
      <c r="F55" s="5">
        <v>613</v>
      </c>
      <c r="H55" s="12" t="s">
        <v>422</v>
      </c>
      <c r="I55" s="12" t="s">
        <v>638</v>
      </c>
      <c r="K55" s="129" t="s">
        <v>567</v>
      </c>
      <c r="L55" s="129" t="s">
        <v>567</v>
      </c>
      <c r="M55" s="8">
        <v>60</v>
      </c>
      <c r="N55" s="8">
        <v>94</v>
      </c>
      <c r="O55" s="8">
        <v>64</v>
      </c>
      <c r="P55" s="8">
        <v>52</v>
      </c>
      <c r="Q55" s="8">
        <v>50</v>
      </c>
      <c r="R55" s="8">
        <v>72</v>
      </c>
      <c r="S55" s="8">
        <v>74</v>
      </c>
      <c r="T55" s="8">
        <v>74</v>
      </c>
      <c r="U55" s="8">
        <v>72</v>
      </c>
    </row>
    <row r="56" spans="1:21" x14ac:dyDescent="0.35">
      <c r="A56" s="1" t="s">
        <v>96</v>
      </c>
      <c r="B56" s="5" t="s">
        <v>1</v>
      </c>
      <c r="D56" s="8">
        <v>279</v>
      </c>
      <c r="E56" s="8">
        <v>422</v>
      </c>
      <c r="F56" s="5">
        <v>543</v>
      </c>
      <c r="H56" s="12" t="s">
        <v>68</v>
      </c>
      <c r="I56" s="12" t="s">
        <v>68</v>
      </c>
      <c r="K56" s="129" t="s">
        <v>552</v>
      </c>
      <c r="L56" s="129" t="s">
        <v>552</v>
      </c>
      <c r="M56" s="8">
        <v>60</v>
      </c>
      <c r="N56" s="8">
        <v>94</v>
      </c>
      <c r="O56" s="8">
        <v>64</v>
      </c>
      <c r="P56" s="8">
        <v>52</v>
      </c>
      <c r="Q56" s="8">
        <v>50</v>
      </c>
      <c r="R56" s="8">
        <v>72</v>
      </c>
      <c r="S56" s="8">
        <v>74</v>
      </c>
      <c r="T56" s="8">
        <v>74</v>
      </c>
      <c r="U56" s="8">
        <v>72</v>
      </c>
    </row>
    <row r="57" spans="1:21" x14ac:dyDescent="0.35">
      <c r="A57" s="1" t="s">
        <v>99</v>
      </c>
      <c r="B57" s="5" t="s">
        <v>1</v>
      </c>
      <c r="D57" s="8">
        <v>351</v>
      </c>
      <c r="E57" s="8">
        <v>392</v>
      </c>
      <c r="F57" s="5">
        <v>629</v>
      </c>
      <c r="H57" s="12" t="s">
        <v>584</v>
      </c>
      <c r="I57" s="12" t="s">
        <v>584</v>
      </c>
      <c r="K57" s="134">
        <v>1</v>
      </c>
      <c r="L57" s="129" t="s">
        <v>568</v>
      </c>
      <c r="N57" s="5">
        <v>126</v>
      </c>
      <c r="O57" s="5">
        <v>107</v>
      </c>
      <c r="P57" s="5">
        <v>103</v>
      </c>
      <c r="Q57" s="5">
        <v>103</v>
      </c>
      <c r="R57" s="5">
        <v>138</v>
      </c>
      <c r="S57" s="5">
        <v>129</v>
      </c>
      <c r="T57" s="5">
        <v>123</v>
      </c>
      <c r="U57" s="5">
        <v>121</v>
      </c>
    </row>
    <row r="58" spans="1:21" x14ac:dyDescent="0.35">
      <c r="A58" s="1" t="s">
        <v>62</v>
      </c>
      <c r="B58" s="5" t="s">
        <v>1</v>
      </c>
      <c r="D58" s="8" t="s">
        <v>584</v>
      </c>
      <c r="E58" s="8">
        <v>436</v>
      </c>
      <c r="F58" s="5">
        <v>694</v>
      </c>
      <c r="H58" s="12" t="s">
        <v>427</v>
      </c>
      <c r="I58" s="12" t="s">
        <v>641</v>
      </c>
      <c r="K58" s="129" t="s">
        <v>552</v>
      </c>
      <c r="L58" s="129" t="s">
        <v>552</v>
      </c>
      <c r="M58" s="5">
        <v>97</v>
      </c>
      <c r="N58" s="5">
        <v>112</v>
      </c>
      <c r="O58" s="5">
        <v>82</v>
      </c>
      <c r="P58" s="5">
        <v>85</v>
      </c>
      <c r="Q58" s="5">
        <v>97</v>
      </c>
      <c r="R58" s="5">
        <v>124</v>
      </c>
      <c r="S58" s="5">
        <v>118</v>
      </c>
      <c r="T58" s="5">
        <v>123</v>
      </c>
      <c r="U58" s="5">
        <v>118</v>
      </c>
    </row>
    <row r="59" spans="1:21" x14ac:dyDescent="0.35">
      <c r="A59" s="1" t="s">
        <v>102</v>
      </c>
      <c r="B59" s="5" t="s">
        <v>1</v>
      </c>
      <c r="D59" s="8">
        <v>373</v>
      </c>
      <c r="E59" s="8">
        <v>394</v>
      </c>
      <c r="F59" s="5">
        <v>734</v>
      </c>
      <c r="H59" s="12" t="s">
        <v>436</v>
      </c>
      <c r="I59" s="12" t="s">
        <v>643</v>
      </c>
      <c r="K59" s="134">
        <v>1</v>
      </c>
      <c r="L59" s="129" t="s">
        <v>570</v>
      </c>
      <c r="M59" s="62">
        <v>76</v>
      </c>
      <c r="N59" s="62">
        <v>84</v>
      </c>
      <c r="O59" s="62">
        <v>76</v>
      </c>
      <c r="P59" s="62">
        <v>74</v>
      </c>
      <c r="Q59" s="62">
        <v>89</v>
      </c>
      <c r="R59" s="8">
        <v>94</v>
      </c>
      <c r="S59" s="8">
        <v>103</v>
      </c>
      <c r="T59" s="8">
        <v>89</v>
      </c>
      <c r="U59" s="8">
        <v>97</v>
      </c>
    </row>
    <row r="60" spans="1:21" ht="15" thickBot="1" x14ac:dyDescent="0.4">
      <c r="A60" s="1" t="s">
        <v>64</v>
      </c>
      <c r="B60" s="5" t="s">
        <v>1</v>
      </c>
      <c r="D60" s="8">
        <v>346</v>
      </c>
      <c r="E60" s="8">
        <v>397</v>
      </c>
      <c r="F60" s="5">
        <v>657</v>
      </c>
      <c r="H60" s="12" t="s">
        <v>584</v>
      </c>
      <c r="I60" s="12">
        <v>-48.5</v>
      </c>
      <c r="K60" s="158">
        <v>0.93</v>
      </c>
      <c r="L60" s="159" t="s">
        <v>552</v>
      </c>
      <c r="M60" s="8">
        <v>73</v>
      </c>
      <c r="N60" s="8">
        <v>84</v>
      </c>
      <c r="O60" s="8">
        <v>68</v>
      </c>
      <c r="P60" s="8">
        <v>86</v>
      </c>
      <c r="Q60" s="8">
        <v>69</v>
      </c>
      <c r="R60" s="8">
        <v>111</v>
      </c>
      <c r="S60" s="8">
        <v>91</v>
      </c>
      <c r="T60" s="8">
        <v>107</v>
      </c>
      <c r="U60" s="8">
        <v>103</v>
      </c>
    </row>
    <row r="61" spans="1:21" x14ac:dyDescent="0.35">
      <c r="A61" s="1" t="s">
        <v>105</v>
      </c>
      <c r="B61" s="5" t="s">
        <v>1</v>
      </c>
      <c r="D61" s="8" t="s">
        <v>584</v>
      </c>
      <c r="E61" s="8" t="s">
        <v>584</v>
      </c>
      <c r="F61" s="5">
        <v>613</v>
      </c>
      <c r="H61" s="12" t="s">
        <v>443</v>
      </c>
      <c r="I61" s="12" t="s">
        <v>584</v>
      </c>
      <c r="K61" s="133">
        <v>1</v>
      </c>
      <c r="L61" s="128" t="s">
        <v>552</v>
      </c>
      <c r="M61" s="8">
        <v>100</v>
      </c>
      <c r="N61" s="8">
        <v>122</v>
      </c>
      <c r="O61" s="8">
        <v>80</v>
      </c>
      <c r="P61" s="8">
        <v>109</v>
      </c>
      <c r="Q61" s="8">
        <v>89</v>
      </c>
      <c r="R61" s="8">
        <v>94</v>
      </c>
      <c r="S61" s="8">
        <v>94</v>
      </c>
      <c r="T61" s="8">
        <v>104</v>
      </c>
      <c r="U61" s="8">
        <v>94</v>
      </c>
    </row>
    <row r="62" spans="1:21" x14ac:dyDescent="0.35">
      <c r="A62" s="1" t="s">
        <v>27</v>
      </c>
      <c r="B62" s="5" t="s">
        <v>1</v>
      </c>
      <c r="D62" s="8">
        <v>503</v>
      </c>
      <c r="E62" s="8">
        <v>336</v>
      </c>
      <c r="F62" s="5">
        <v>586</v>
      </c>
      <c r="H62" s="12" t="s">
        <v>447</v>
      </c>
      <c r="I62" s="12">
        <v>-16.5</v>
      </c>
      <c r="M62" s="8">
        <v>93</v>
      </c>
      <c r="N62" s="8">
        <v>84</v>
      </c>
      <c r="O62" s="8">
        <v>98</v>
      </c>
      <c r="P62" s="8">
        <v>88</v>
      </c>
      <c r="Q62" s="8">
        <v>89</v>
      </c>
      <c r="R62" s="8">
        <v>94</v>
      </c>
      <c r="S62" s="53">
        <v>100</v>
      </c>
      <c r="T62" s="53">
        <v>101</v>
      </c>
      <c r="U62" s="53">
        <v>100</v>
      </c>
    </row>
    <row r="63" spans="1:21" x14ac:dyDescent="0.35">
      <c r="A63" s="1" t="s">
        <v>109</v>
      </c>
      <c r="B63" s="5" t="s">
        <v>1</v>
      </c>
      <c r="D63" s="8" t="s">
        <v>584</v>
      </c>
      <c r="E63" s="8">
        <v>242</v>
      </c>
      <c r="F63" s="5" t="s">
        <v>584</v>
      </c>
      <c r="H63" s="12" t="s">
        <v>460</v>
      </c>
      <c r="I63" s="12">
        <v>-46</v>
      </c>
      <c r="M63" s="5" t="s">
        <v>68</v>
      </c>
      <c r="N63" s="5">
        <v>126</v>
      </c>
      <c r="O63" s="5">
        <v>74</v>
      </c>
      <c r="P63" s="5">
        <v>103</v>
      </c>
      <c r="Q63" s="5">
        <v>84</v>
      </c>
      <c r="R63" s="5">
        <v>82</v>
      </c>
      <c r="S63" s="5">
        <v>94</v>
      </c>
      <c r="T63" s="5">
        <v>86</v>
      </c>
      <c r="U63" s="5">
        <v>94</v>
      </c>
    </row>
    <row r="64" spans="1:21" x14ac:dyDescent="0.35">
      <c r="A64" s="1" t="s">
        <v>111</v>
      </c>
      <c r="B64" s="5" t="s">
        <v>1</v>
      </c>
      <c r="D64" s="149">
        <v>398</v>
      </c>
      <c r="E64" s="149">
        <v>373</v>
      </c>
      <c r="F64" s="150">
        <v>611</v>
      </c>
      <c r="H64" s="5" t="s">
        <v>68</v>
      </c>
      <c r="I64" s="5" t="s">
        <v>68</v>
      </c>
      <c r="M64" s="8">
        <v>79</v>
      </c>
      <c r="N64" s="8">
        <v>84</v>
      </c>
      <c r="O64" s="8">
        <v>74</v>
      </c>
      <c r="P64" s="8">
        <v>94</v>
      </c>
      <c r="Q64" s="8">
        <v>84</v>
      </c>
      <c r="R64" s="8">
        <v>108</v>
      </c>
      <c r="S64" s="8">
        <v>91</v>
      </c>
      <c r="T64" s="8">
        <v>96</v>
      </c>
      <c r="U64" s="8">
        <v>91</v>
      </c>
    </row>
    <row r="65" spans="1:21" x14ac:dyDescent="0.35">
      <c r="A65" s="1" t="s">
        <v>11</v>
      </c>
      <c r="B65" s="5" t="s">
        <v>1</v>
      </c>
      <c r="D65" s="8">
        <v>383</v>
      </c>
      <c r="E65" s="8">
        <v>391</v>
      </c>
      <c r="F65" s="5">
        <v>586</v>
      </c>
      <c r="H65" s="12" t="s">
        <v>182</v>
      </c>
      <c r="I65" s="12" t="s">
        <v>633</v>
      </c>
      <c r="M65" s="8">
        <v>100</v>
      </c>
      <c r="N65" s="8">
        <v>89</v>
      </c>
      <c r="O65" s="8">
        <v>105</v>
      </c>
      <c r="P65" s="8">
        <v>94</v>
      </c>
      <c r="Q65" s="8">
        <v>108</v>
      </c>
      <c r="R65" s="8" t="s">
        <v>68</v>
      </c>
      <c r="S65" s="8" t="s">
        <v>68</v>
      </c>
      <c r="T65" s="8" t="s">
        <v>68</v>
      </c>
      <c r="U65" s="8" t="s">
        <v>68</v>
      </c>
    </row>
    <row r="66" spans="1:21" x14ac:dyDescent="0.35">
      <c r="A66" s="1" t="s">
        <v>74</v>
      </c>
      <c r="B66" s="5" t="s">
        <v>68</v>
      </c>
      <c r="D66" s="5" t="s">
        <v>68</v>
      </c>
      <c r="E66" s="5" t="s">
        <v>68</v>
      </c>
      <c r="F66" s="5" t="s">
        <v>68</v>
      </c>
      <c r="H66" s="12" t="s">
        <v>209</v>
      </c>
      <c r="I66" s="12" t="s">
        <v>647</v>
      </c>
      <c r="M66" s="5">
        <v>115</v>
      </c>
      <c r="N66" s="5">
        <v>124</v>
      </c>
      <c r="O66" s="5">
        <v>106</v>
      </c>
      <c r="P66" s="5">
        <v>114</v>
      </c>
      <c r="Q66" s="5">
        <v>102</v>
      </c>
      <c r="R66" s="5">
        <v>114</v>
      </c>
      <c r="S66" s="5">
        <v>106</v>
      </c>
      <c r="T66" s="5">
        <v>119</v>
      </c>
      <c r="U66" s="5">
        <v>106</v>
      </c>
    </row>
    <row r="67" spans="1:21" x14ac:dyDescent="0.35">
      <c r="A67" s="1" t="s">
        <v>85</v>
      </c>
      <c r="B67" s="5" t="s">
        <v>3</v>
      </c>
      <c r="D67" s="8" t="s">
        <v>584</v>
      </c>
      <c r="E67" s="8">
        <v>503</v>
      </c>
      <c r="F67" s="5">
        <v>606</v>
      </c>
      <c r="H67" s="5" t="s">
        <v>68</v>
      </c>
      <c r="I67" s="5" t="s">
        <v>68</v>
      </c>
      <c r="M67" s="5">
        <v>86</v>
      </c>
      <c r="N67" s="5">
        <v>92</v>
      </c>
      <c r="O67" s="167">
        <v>94</v>
      </c>
      <c r="P67" s="167">
        <v>77</v>
      </c>
      <c r="Q67" s="167">
        <v>89</v>
      </c>
      <c r="R67" s="167">
        <v>94</v>
      </c>
      <c r="S67" s="167">
        <v>91</v>
      </c>
      <c r="T67" s="167">
        <v>91</v>
      </c>
      <c r="U67" s="167">
        <v>91</v>
      </c>
    </row>
    <row r="68" spans="1:21" x14ac:dyDescent="0.35">
      <c r="A68" s="213" t="s">
        <v>90</v>
      </c>
      <c r="B68" s="214" t="s">
        <v>3</v>
      </c>
      <c r="D68" s="210">
        <v>481</v>
      </c>
      <c r="E68" s="210">
        <v>478</v>
      </c>
      <c r="F68" s="211">
        <v>655</v>
      </c>
      <c r="H68" s="5" t="s">
        <v>68</v>
      </c>
      <c r="I68" s="5" t="s">
        <v>68</v>
      </c>
      <c r="M68" s="5">
        <v>71</v>
      </c>
      <c r="N68" s="5">
        <v>81</v>
      </c>
      <c r="O68" s="5">
        <v>84</v>
      </c>
      <c r="P68" s="5">
        <v>74</v>
      </c>
      <c r="Q68" s="5">
        <v>64</v>
      </c>
      <c r="R68" s="5">
        <v>97</v>
      </c>
      <c r="S68" s="5">
        <v>109</v>
      </c>
      <c r="T68" s="5">
        <v>93</v>
      </c>
      <c r="U68" s="5">
        <v>109</v>
      </c>
    </row>
    <row r="69" spans="1:21" x14ac:dyDescent="0.35">
      <c r="A69" s="106" t="s">
        <v>93</v>
      </c>
      <c r="B69" s="74" t="s">
        <v>3</v>
      </c>
      <c r="D69" s="8">
        <v>497</v>
      </c>
      <c r="E69" s="8">
        <v>336</v>
      </c>
      <c r="F69" s="5">
        <v>547</v>
      </c>
      <c r="H69" s="5" t="s">
        <v>68</v>
      </c>
      <c r="I69" s="5" t="s">
        <v>68</v>
      </c>
      <c r="M69" s="5" t="s">
        <v>68</v>
      </c>
      <c r="N69" s="5">
        <v>100</v>
      </c>
      <c r="O69" s="5">
        <v>98</v>
      </c>
      <c r="P69" s="5">
        <v>97</v>
      </c>
      <c r="Q69" s="5">
        <v>97</v>
      </c>
      <c r="R69" s="5">
        <v>94</v>
      </c>
      <c r="S69" s="5">
        <v>109</v>
      </c>
      <c r="T69" s="5">
        <v>96</v>
      </c>
      <c r="U69" s="5">
        <v>112</v>
      </c>
    </row>
    <row r="70" spans="1:21" x14ac:dyDescent="0.35">
      <c r="A70" s="106" t="s">
        <v>104</v>
      </c>
      <c r="B70" s="74" t="s">
        <v>3</v>
      </c>
      <c r="D70" s="8">
        <v>489</v>
      </c>
      <c r="E70" s="8">
        <v>409</v>
      </c>
      <c r="F70" s="5">
        <v>600</v>
      </c>
      <c r="H70" s="5" t="s">
        <v>68</v>
      </c>
      <c r="I70" s="5" t="s">
        <v>68</v>
      </c>
      <c r="M70" s="5">
        <v>90</v>
      </c>
      <c r="N70" s="5">
        <v>94</v>
      </c>
      <c r="O70" s="5">
        <v>70</v>
      </c>
      <c r="P70" s="5">
        <v>112</v>
      </c>
      <c r="Q70" s="5">
        <v>100</v>
      </c>
      <c r="R70" s="5">
        <v>111</v>
      </c>
      <c r="S70" s="5">
        <v>91</v>
      </c>
      <c r="T70" s="5">
        <v>89</v>
      </c>
      <c r="U70" s="5">
        <v>85</v>
      </c>
    </row>
  </sheetData>
  <conditionalFormatting sqref="A1:A65 A66:B66">
    <cfRule type="containsText" dxfId="10" priority="5" operator="containsText" text="ok">
      <formula>NOT(ISERROR(SEARCH("ok",A1)))</formula>
    </cfRule>
  </conditionalFormatting>
  <conditionalFormatting sqref="A67:A1048576">
    <cfRule type="containsText" dxfId="9" priority="2" operator="containsText" text="ok">
      <formula>NOT(ISERROR(SEARCH("ok",A67)))</formula>
    </cfRule>
  </conditionalFormatting>
  <conditionalFormatting sqref="M53:T53">
    <cfRule type="containsText" dxfId="8" priority="3" operator="containsText" text="NI">
      <formula>NOT(ISERROR(SEARCH("NI",M53)))</formula>
    </cfRule>
  </conditionalFormatting>
  <conditionalFormatting sqref="U29:U34">
    <cfRule type="containsText" dxfId="7" priority="4" operator="containsText" text="NI">
      <formula>NOT(ISERROR(SEARCH("NI",U29)))</formula>
    </cfRule>
  </conditionalFormatting>
  <conditionalFormatting sqref="U63:U70">
    <cfRule type="containsText" dxfId="6" priority="1" operator="containsText" text="NI">
      <formula>NOT(ISERROR(SEARCH("NI",U63)))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93F8-8BCD-46B1-B32B-87418F6D7A34}">
  <dimension ref="A1:AC73"/>
  <sheetViews>
    <sheetView topLeftCell="A28" zoomScale="51" zoomScaleNormal="145" workbookViewId="0">
      <selection activeCell="AA54" sqref="AA54:AB60"/>
    </sheetView>
  </sheetViews>
  <sheetFormatPr baseColWidth="10" defaultColWidth="8.7265625" defaultRowHeight="14.5" x14ac:dyDescent="0.35"/>
  <cols>
    <col min="1" max="1" width="7.453125" style="24" bestFit="1" customWidth="1"/>
    <col min="2" max="2" width="6.1796875" style="25" customWidth="1"/>
    <col min="3" max="4" width="6.81640625" style="25" customWidth="1"/>
    <col min="5" max="5" width="7.7265625" style="25" bestFit="1" customWidth="1"/>
    <col min="6" max="6" width="10.1796875" style="25" bestFit="1" customWidth="1"/>
    <col min="7" max="7" width="9.26953125" style="25" bestFit="1" customWidth="1"/>
    <col min="8" max="8" width="9" style="25" bestFit="1" customWidth="1"/>
    <col min="9" max="9" width="9.7265625" style="25" bestFit="1" customWidth="1"/>
    <col min="10" max="10" width="6.81640625" style="27" customWidth="1"/>
    <col min="11" max="11" width="8.26953125" style="26" bestFit="1" customWidth="1"/>
    <col min="12" max="12" width="11.81640625" style="26" bestFit="1" customWidth="1"/>
    <col min="13" max="13" width="10.81640625" style="26" bestFit="1" customWidth="1"/>
    <col min="14" max="14" width="9.7265625" style="26" bestFit="1" customWidth="1"/>
    <col min="15" max="15" width="9.7265625" style="27" customWidth="1"/>
    <col min="16" max="16" width="8.26953125" style="26" bestFit="1" customWidth="1"/>
    <col min="17" max="17" width="10.1796875" style="26" bestFit="1" customWidth="1"/>
    <col min="18" max="18" width="7.54296875" style="26" bestFit="1" customWidth="1"/>
    <col min="19" max="19" width="8.54296875" style="26" bestFit="1" customWidth="1"/>
    <col min="20" max="20" width="9.7265625" style="26" bestFit="1" customWidth="1"/>
    <col min="21" max="22" width="9.1796875" style="88"/>
    <col min="23" max="23" width="10.7265625" style="88" bestFit="1" customWidth="1"/>
    <col min="24" max="24" width="7.54296875" style="88" bestFit="1" customWidth="1"/>
    <col min="25" max="25" width="6" style="88" bestFit="1" customWidth="1"/>
    <col min="26" max="26" width="9.1796875" style="88"/>
    <col min="27" max="28" width="11.1796875" style="88" bestFit="1" customWidth="1"/>
    <col min="29" max="29" width="65.7265625" style="88" bestFit="1" customWidth="1"/>
  </cols>
  <sheetData>
    <row r="1" spans="1:29" ht="15" thickBot="1" x14ac:dyDescent="0.4">
      <c r="A1" s="220" t="s">
        <v>0</v>
      </c>
      <c r="B1" s="222" t="s">
        <v>121</v>
      </c>
      <c r="C1" s="224" t="s">
        <v>9</v>
      </c>
      <c r="D1" s="226" t="s">
        <v>41</v>
      </c>
      <c r="E1" s="227"/>
      <c r="F1" s="227"/>
      <c r="G1" s="227"/>
      <c r="H1" s="227"/>
      <c r="I1" s="228"/>
      <c r="J1" s="217" t="s">
        <v>44</v>
      </c>
      <c r="K1" s="218"/>
      <c r="L1" s="218"/>
      <c r="M1" s="218"/>
      <c r="N1" s="219"/>
      <c r="O1" s="217" t="s">
        <v>45</v>
      </c>
      <c r="P1" s="218"/>
      <c r="Q1" s="218"/>
      <c r="R1" s="218"/>
      <c r="S1" s="218"/>
      <c r="T1" s="219"/>
      <c r="U1" s="217" t="s">
        <v>177</v>
      </c>
      <c r="V1" s="218"/>
      <c r="W1" s="218"/>
      <c r="X1" s="218"/>
      <c r="Y1" s="218"/>
      <c r="Z1" s="219"/>
      <c r="AA1" s="226" t="s">
        <v>549</v>
      </c>
      <c r="AB1" s="228"/>
      <c r="AC1" s="215" t="s">
        <v>116</v>
      </c>
    </row>
    <row r="2" spans="1:29" ht="15" thickBot="1" x14ac:dyDescent="0.4">
      <c r="A2" s="221"/>
      <c r="B2" s="223"/>
      <c r="C2" s="225"/>
      <c r="D2" s="32" t="s">
        <v>4</v>
      </c>
      <c r="E2" s="33" t="s">
        <v>42</v>
      </c>
      <c r="F2" s="33" t="s">
        <v>43</v>
      </c>
      <c r="G2" s="34" t="s">
        <v>477</v>
      </c>
      <c r="H2" s="34" t="s">
        <v>476</v>
      </c>
      <c r="I2" s="35" t="s">
        <v>46</v>
      </c>
      <c r="J2" s="36" t="s">
        <v>4</v>
      </c>
      <c r="K2" s="37" t="s">
        <v>42</v>
      </c>
      <c r="L2" s="37" t="s">
        <v>43</v>
      </c>
      <c r="M2" s="37" t="s">
        <v>267</v>
      </c>
      <c r="N2" s="38" t="s">
        <v>46</v>
      </c>
      <c r="O2" s="39" t="s">
        <v>4</v>
      </c>
      <c r="P2" s="37" t="s">
        <v>42</v>
      </c>
      <c r="Q2" s="37" t="s">
        <v>43</v>
      </c>
      <c r="R2" s="37" t="s">
        <v>265</v>
      </c>
      <c r="S2" s="37" t="s">
        <v>257</v>
      </c>
      <c r="T2" s="40" t="s">
        <v>46</v>
      </c>
      <c r="U2" s="36" t="s">
        <v>4</v>
      </c>
      <c r="V2" s="37" t="s">
        <v>42</v>
      </c>
      <c r="W2" s="37" t="s">
        <v>43</v>
      </c>
      <c r="X2" s="37" t="s">
        <v>265</v>
      </c>
      <c r="Y2" s="37" t="s">
        <v>257</v>
      </c>
      <c r="Z2" s="38" t="s">
        <v>46</v>
      </c>
      <c r="AA2" s="125" t="s">
        <v>550</v>
      </c>
      <c r="AB2" s="125" t="s">
        <v>551</v>
      </c>
      <c r="AC2" s="216"/>
    </row>
    <row r="3" spans="1:29" x14ac:dyDescent="0.35">
      <c r="A3" s="31" t="s">
        <v>5</v>
      </c>
      <c r="B3" s="22"/>
      <c r="C3" s="44" t="s">
        <v>2</v>
      </c>
      <c r="D3" s="109" t="s">
        <v>144</v>
      </c>
      <c r="E3" s="41" t="s">
        <v>145</v>
      </c>
      <c r="F3" s="41" t="s">
        <v>146</v>
      </c>
      <c r="G3" s="110" t="s">
        <v>115</v>
      </c>
      <c r="H3" s="110" t="s">
        <v>87</v>
      </c>
      <c r="I3" s="111" t="s">
        <v>48</v>
      </c>
      <c r="J3" s="28" t="s">
        <v>148</v>
      </c>
      <c r="K3" s="20" t="s">
        <v>167</v>
      </c>
      <c r="L3" s="20" t="s">
        <v>176</v>
      </c>
      <c r="M3" s="20" t="s">
        <v>115</v>
      </c>
      <c r="N3" s="29" t="s">
        <v>47</v>
      </c>
      <c r="O3" s="28" t="s">
        <v>148</v>
      </c>
      <c r="P3" s="20" t="s">
        <v>168</v>
      </c>
      <c r="Q3" s="20" t="s">
        <v>169</v>
      </c>
      <c r="R3" s="20" t="s">
        <v>225</v>
      </c>
      <c r="S3" s="20" t="s">
        <v>87</v>
      </c>
      <c r="T3" s="29" t="s">
        <v>47</v>
      </c>
      <c r="U3" s="28" t="s">
        <v>148</v>
      </c>
      <c r="V3" s="20" t="s">
        <v>258</v>
      </c>
      <c r="W3" s="20" t="s">
        <v>259</v>
      </c>
      <c r="X3" s="20" t="s">
        <v>220</v>
      </c>
      <c r="Y3" s="20" t="s">
        <v>87</v>
      </c>
      <c r="Z3" s="29" t="s">
        <v>47</v>
      </c>
      <c r="AA3" s="126" t="s">
        <v>553</v>
      </c>
      <c r="AB3" s="126" t="s">
        <v>554</v>
      </c>
      <c r="AC3" s="81"/>
    </row>
    <row r="4" spans="1:29" x14ac:dyDescent="0.35">
      <c r="A4" s="30" t="s">
        <v>8</v>
      </c>
      <c r="B4" s="21"/>
      <c r="C4" s="44" t="s">
        <v>2</v>
      </c>
      <c r="D4" s="15" t="s">
        <v>142</v>
      </c>
      <c r="E4" s="16" t="s">
        <v>323</v>
      </c>
      <c r="F4" s="16" t="s">
        <v>480</v>
      </c>
      <c r="G4" s="17" t="s">
        <v>87</v>
      </c>
      <c r="H4" s="17" t="s">
        <v>87</v>
      </c>
      <c r="I4" s="18" t="s">
        <v>49</v>
      </c>
      <c r="J4" s="28" t="s">
        <v>170</v>
      </c>
      <c r="K4" s="20" t="s">
        <v>171</v>
      </c>
      <c r="L4" s="20" t="s">
        <v>172</v>
      </c>
      <c r="M4" s="20" t="s">
        <v>115</v>
      </c>
      <c r="N4" s="29" t="s">
        <v>61</v>
      </c>
      <c r="O4" s="28" t="s">
        <v>144</v>
      </c>
      <c r="P4" s="20" t="s">
        <v>173</v>
      </c>
      <c r="Q4" s="20" t="s">
        <v>174</v>
      </c>
      <c r="R4" s="20" t="s">
        <v>225</v>
      </c>
      <c r="S4" s="20" t="s">
        <v>115</v>
      </c>
      <c r="T4" s="29" t="s">
        <v>49</v>
      </c>
      <c r="U4" s="28" t="s">
        <v>170</v>
      </c>
      <c r="V4" s="20" t="s">
        <v>227</v>
      </c>
      <c r="W4" s="20" t="s">
        <v>261</v>
      </c>
      <c r="X4" s="20" t="s">
        <v>225</v>
      </c>
      <c r="Y4" s="20" t="s">
        <v>115</v>
      </c>
      <c r="Z4" s="29" t="s">
        <v>61</v>
      </c>
      <c r="AA4" s="126" t="s">
        <v>552</v>
      </c>
      <c r="AB4" s="126" t="s">
        <v>552</v>
      </c>
      <c r="AC4" s="81" t="s">
        <v>260</v>
      </c>
    </row>
    <row r="5" spans="1:29" x14ac:dyDescent="0.35">
      <c r="A5" s="30" t="s">
        <v>69</v>
      </c>
      <c r="B5" s="21"/>
      <c r="C5" s="44" t="s">
        <v>2</v>
      </c>
      <c r="D5" s="15" t="s">
        <v>331</v>
      </c>
      <c r="E5" s="16" t="s">
        <v>331</v>
      </c>
      <c r="F5" s="16" t="s">
        <v>331</v>
      </c>
      <c r="G5" s="17" t="s">
        <v>331</v>
      </c>
      <c r="H5" s="17" t="s">
        <v>331</v>
      </c>
      <c r="I5" s="18" t="s">
        <v>331</v>
      </c>
      <c r="J5" s="28" t="s">
        <v>148</v>
      </c>
      <c r="K5" s="20" t="s">
        <v>316</v>
      </c>
      <c r="L5" s="20" t="s">
        <v>315</v>
      </c>
      <c r="M5" s="20" t="s">
        <v>115</v>
      </c>
      <c r="N5" s="29" t="s">
        <v>47</v>
      </c>
      <c r="O5" s="28" t="s">
        <v>148</v>
      </c>
      <c r="P5" s="20" t="s">
        <v>317</v>
      </c>
      <c r="Q5" s="20" t="s">
        <v>318</v>
      </c>
      <c r="R5" s="20" t="s">
        <v>225</v>
      </c>
      <c r="S5" s="20" t="s">
        <v>115</v>
      </c>
      <c r="T5" s="29" t="s">
        <v>47</v>
      </c>
      <c r="U5" s="28" t="s">
        <v>129</v>
      </c>
      <c r="V5" s="20" t="s">
        <v>319</v>
      </c>
      <c r="W5" s="20" t="s">
        <v>299</v>
      </c>
      <c r="X5" s="20" t="s">
        <v>87</v>
      </c>
      <c r="Y5" s="20" t="s">
        <v>87</v>
      </c>
      <c r="Z5" s="29" t="s">
        <v>48</v>
      </c>
      <c r="AA5" s="126" t="s">
        <v>553</v>
      </c>
      <c r="AB5" s="126" t="s">
        <v>555</v>
      </c>
      <c r="AC5" s="81"/>
    </row>
    <row r="6" spans="1:29" x14ac:dyDescent="0.35">
      <c r="A6" s="30" t="s">
        <v>29</v>
      </c>
      <c r="B6" s="21"/>
      <c r="C6" s="44" t="s">
        <v>2</v>
      </c>
      <c r="D6" s="15" t="s">
        <v>331</v>
      </c>
      <c r="E6" s="16" t="s">
        <v>331</v>
      </c>
      <c r="F6" s="16" t="s">
        <v>331</v>
      </c>
      <c r="G6" s="17" t="s">
        <v>331</v>
      </c>
      <c r="H6" s="17" t="s">
        <v>331</v>
      </c>
      <c r="I6" s="18" t="s">
        <v>331</v>
      </c>
      <c r="J6" s="28" t="s">
        <v>125</v>
      </c>
      <c r="K6" s="20" t="s">
        <v>182</v>
      </c>
      <c r="L6" s="20" t="s">
        <v>320</v>
      </c>
      <c r="M6" s="20" t="s">
        <v>87</v>
      </c>
      <c r="N6" s="29" t="s">
        <v>48</v>
      </c>
      <c r="O6" s="28" t="s">
        <v>331</v>
      </c>
      <c r="P6" s="20" t="s">
        <v>331</v>
      </c>
      <c r="Q6" s="20" t="s">
        <v>331</v>
      </c>
      <c r="R6" s="20" t="s">
        <v>331</v>
      </c>
      <c r="S6" s="20" t="s">
        <v>331</v>
      </c>
      <c r="T6" s="29" t="s">
        <v>331</v>
      </c>
      <c r="U6" s="28" t="s">
        <v>331</v>
      </c>
      <c r="V6" s="20" t="s">
        <v>331</v>
      </c>
      <c r="W6" s="20" t="s">
        <v>331</v>
      </c>
      <c r="X6" s="20" t="s">
        <v>331</v>
      </c>
      <c r="Y6" s="20" t="s">
        <v>331</v>
      </c>
      <c r="Z6" s="29" t="s">
        <v>331</v>
      </c>
      <c r="AA6" s="126" t="s">
        <v>557</v>
      </c>
      <c r="AB6" s="126" t="s">
        <v>556</v>
      </c>
      <c r="AC6" s="81" t="s">
        <v>286</v>
      </c>
    </row>
    <row r="7" spans="1:29" x14ac:dyDescent="0.35">
      <c r="A7" s="45" t="s">
        <v>30</v>
      </c>
      <c r="B7" s="46"/>
      <c r="C7" s="47" t="s">
        <v>2</v>
      </c>
      <c r="D7" s="113" t="s">
        <v>134</v>
      </c>
      <c r="E7" s="114" t="s">
        <v>135</v>
      </c>
      <c r="F7" s="114" t="s">
        <v>136</v>
      </c>
      <c r="G7" s="115" t="s">
        <v>115</v>
      </c>
      <c r="H7" s="110" t="s">
        <v>87</v>
      </c>
      <c r="I7" s="116" t="s">
        <v>49</v>
      </c>
      <c r="J7" s="50" t="s">
        <v>129</v>
      </c>
      <c r="K7" s="48" t="s">
        <v>178</v>
      </c>
      <c r="L7" s="48" t="s">
        <v>179</v>
      </c>
      <c r="M7" s="48" t="s">
        <v>87</v>
      </c>
      <c r="N7" s="49" t="s">
        <v>50</v>
      </c>
      <c r="O7" s="50" t="s">
        <v>134</v>
      </c>
      <c r="P7" s="48" t="s">
        <v>547</v>
      </c>
      <c r="Q7" s="48" t="s">
        <v>548</v>
      </c>
      <c r="R7" s="48" t="s">
        <v>225</v>
      </c>
      <c r="S7" s="48" t="s">
        <v>87</v>
      </c>
      <c r="T7" s="49" t="s">
        <v>49</v>
      </c>
      <c r="U7" s="28" t="s">
        <v>331</v>
      </c>
      <c r="V7" s="20" t="s">
        <v>331</v>
      </c>
      <c r="W7" s="20" t="s">
        <v>331</v>
      </c>
      <c r="X7" s="20" t="s">
        <v>331</v>
      </c>
      <c r="Y7" s="20" t="s">
        <v>331</v>
      </c>
      <c r="Z7" s="29" t="s">
        <v>331</v>
      </c>
      <c r="AA7" s="126" t="s">
        <v>557</v>
      </c>
      <c r="AB7" s="126" t="s">
        <v>556</v>
      </c>
      <c r="AC7" s="81"/>
    </row>
    <row r="8" spans="1:29" x14ac:dyDescent="0.35">
      <c r="A8" s="30" t="s">
        <v>12</v>
      </c>
      <c r="B8" s="21"/>
      <c r="C8" s="44" t="s">
        <v>2</v>
      </c>
      <c r="D8" s="15" t="s">
        <v>134</v>
      </c>
      <c r="E8" s="16" t="s">
        <v>482</v>
      </c>
      <c r="F8" s="16" t="s">
        <v>483</v>
      </c>
      <c r="G8" s="17" t="s">
        <v>115</v>
      </c>
      <c r="H8" s="17" t="s">
        <v>87</v>
      </c>
      <c r="I8" s="18" t="s">
        <v>48</v>
      </c>
      <c r="J8" s="28" t="s">
        <v>129</v>
      </c>
      <c r="K8" s="23" t="s">
        <v>180</v>
      </c>
      <c r="L8" s="20" t="s">
        <v>181</v>
      </c>
      <c r="M8" s="20" t="s">
        <v>115</v>
      </c>
      <c r="N8" s="29" t="s">
        <v>48</v>
      </c>
      <c r="O8" s="28" t="s">
        <v>134</v>
      </c>
      <c r="P8" s="20" t="s">
        <v>182</v>
      </c>
      <c r="Q8" s="20" t="s">
        <v>183</v>
      </c>
      <c r="R8" s="20" t="s">
        <v>225</v>
      </c>
      <c r="S8" s="20" t="s">
        <v>115</v>
      </c>
      <c r="T8" s="29" t="s">
        <v>48</v>
      </c>
      <c r="U8" s="28" t="s">
        <v>129</v>
      </c>
      <c r="V8" s="20" t="s">
        <v>262</v>
      </c>
      <c r="W8" s="20" t="s">
        <v>264</v>
      </c>
      <c r="X8" s="20" t="s">
        <v>225</v>
      </c>
      <c r="Y8" s="20" t="s">
        <v>115</v>
      </c>
      <c r="Z8" s="29" t="s">
        <v>48</v>
      </c>
      <c r="AA8" s="126" t="s">
        <v>558</v>
      </c>
      <c r="AB8" s="126" t="s">
        <v>559</v>
      </c>
      <c r="AC8" s="81" t="s">
        <v>266</v>
      </c>
    </row>
    <row r="9" spans="1:29" x14ac:dyDescent="0.35">
      <c r="A9" s="30" t="s">
        <v>14</v>
      </c>
      <c r="B9" s="21"/>
      <c r="C9" s="44" t="s">
        <v>2</v>
      </c>
      <c r="D9" s="15" t="s">
        <v>129</v>
      </c>
      <c r="E9" s="16" t="s">
        <v>479</v>
      </c>
      <c r="F9" s="16" t="s">
        <v>486</v>
      </c>
      <c r="G9" s="17" t="s">
        <v>115</v>
      </c>
      <c r="H9" s="110" t="s">
        <v>87</v>
      </c>
      <c r="I9" s="18" t="s">
        <v>50</v>
      </c>
      <c r="J9" s="28" t="s">
        <v>129</v>
      </c>
      <c r="K9" s="20" t="s">
        <v>321</v>
      </c>
      <c r="L9" s="20" t="s">
        <v>322</v>
      </c>
      <c r="M9" s="20" t="s">
        <v>115</v>
      </c>
      <c r="N9" s="29" t="s">
        <v>50</v>
      </c>
      <c r="O9" s="28" t="s">
        <v>148</v>
      </c>
      <c r="P9" s="20" t="s">
        <v>185</v>
      </c>
      <c r="Q9" s="20" t="s">
        <v>186</v>
      </c>
      <c r="R9" s="20" t="s">
        <v>87</v>
      </c>
      <c r="S9" s="20" t="s">
        <v>87</v>
      </c>
      <c r="T9" s="29" t="s">
        <v>49</v>
      </c>
      <c r="U9" s="28" t="s">
        <v>148</v>
      </c>
      <c r="V9" s="20" t="s">
        <v>268</v>
      </c>
      <c r="W9" s="20" t="s">
        <v>269</v>
      </c>
      <c r="X9" s="20" t="s">
        <v>225</v>
      </c>
      <c r="Y9" s="20" t="s">
        <v>115</v>
      </c>
      <c r="Z9" s="29" t="s">
        <v>49</v>
      </c>
      <c r="AA9" s="126" t="s">
        <v>553</v>
      </c>
      <c r="AB9" s="126" t="s">
        <v>560</v>
      </c>
      <c r="AC9" s="81" t="s">
        <v>270</v>
      </c>
    </row>
    <row r="10" spans="1:29" x14ac:dyDescent="0.35">
      <c r="A10" s="45" t="s">
        <v>31</v>
      </c>
      <c r="B10" s="46"/>
      <c r="C10" s="47" t="s">
        <v>2</v>
      </c>
      <c r="D10" s="113" t="s">
        <v>141</v>
      </c>
      <c r="E10" s="114" t="s">
        <v>488</v>
      </c>
      <c r="F10" s="114" t="s">
        <v>489</v>
      </c>
      <c r="G10" s="17" t="s">
        <v>115</v>
      </c>
      <c r="H10" s="17" t="s">
        <v>115</v>
      </c>
      <c r="I10" s="116" t="s">
        <v>48</v>
      </c>
      <c r="J10" s="50" t="s">
        <v>148</v>
      </c>
      <c r="K10" s="48" t="s">
        <v>187</v>
      </c>
      <c r="L10" s="48" t="s">
        <v>188</v>
      </c>
      <c r="M10" s="48" t="s">
        <v>115</v>
      </c>
      <c r="N10" s="49" t="s">
        <v>48</v>
      </c>
      <c r="O10" s="50" t="s">
        <v>148</v>
      </c>
      <c r="P10" s="48" t="s">
        <v>189</v>
      </c>
      <c r="Q10" s="48" t="s">
        <v>190</v>
      </c>
      <c r="R10" s="48" t="s">
        <v>220</v>
      </c>
      <c r="S10" s="48" t="s">
        <v>87</v>
      </c>
      <c r="T10" s="49" t="s">
        <v>48</v>
      </c>
      <c r="U10" s="50" t="s">
        <v>148</v>
      </c>
      <c r="V10" s="48" t="s">
        <v>271</v>
      </c>
      <c r="W10" s="48" t="s">
        <v>272</v>
      </c>
      <c r="X10" s="48" t="s">
        <v>225</v>
      </c>
      <c r="Y10" s="48" t="s">
        <v>115</v>
      </c>
      <c r="Z10" s="49" t="s">
        <v>48</v>
      </c>
      <c r="AA10" s="127" t="s">
        <v>552</v>
      </c>
      <c r="AB10" s="127" t="s">
        <v>552</v>
      </c>
      <c r="AC10" s="81"/>
    </row>
    <row r="11" spans="1:29" x14ac:dyDescent="0.35">
      <c r="A11" s="30" t="s">
        <v>33</v>
      </c>
      <c r="B11" s="21"/>
      <c r="C11" s="44" t="s">
        <v>2</v>
      </c>
      <c r="D11" s="113" t="s">
        <v>147</v>
      </c>
      <c r="E11" s="114" t="s">
        <v>150</v>
      </c>
      <c r="F11" s="114" t="s">
        <v>151</v>
      </c>
      <c r="G11" s="115" t="s">
        <v>115</v>
      </c>
      <c r="H11" s="115" t="s">
        <v>115</v>
      </c>
      <c r="I11" s="116" t="s">
        <v>51</v>
      </c>
      <c r="J11" s="28" t="s">
        <v>148</v>
      </c>
      <c r="K11" s="20" t="s">
        <v>175</v>
      </c>
      <c r="L11" s="20" t="s">
        <v>191</v>
      </c>
      <c r="M11" s="20" t="s">
        <v>115</v>
      </c>
      <c r="N11" s="29" t="s">
        <v>51</v>
      </c>
      <c r="O11" s="28" t="s">
        <v>148</v>
      </c>
      <c r="P11" s="20" t="s">
        <v>180</v>
      </c>
      <c r="Q11" s="20" t="s">
        <v>192</v>
      </c>
      <c r="R11" s="20" t="s">
        <v>87</v>
      </c>
      <c r="S11" s="20" t="s">
        <v>87</v>
      </c>
      <c r="T11" s="29" t="s">
        <v>51</v>
      </c>
      <c r="U11" s="28" t="s">
        <v>331</v>
      </c>
      <c r="V11" s="20" t="s">
        <v>331</v>
      </c>
      <c r="W11" s="20" t="s">
        <v>331</v>
      </c>
      <c r="X11" s="20" t="s">
        <v>331</v>
      </c>
      <c r="Y11" s="20" t="s">
        <v>331</v>
      </c>
      <c r="Z11" s="29" t="s">
        <v>331</v>
      </c>
      <c r="AA11" s="126" t="s">
        <v>558</v>
      </c>
      <c r="AB11" s="126" t="s">
        <v>565</v>
      </c>
      <c r="AC11" s="81" t="s">
        <v>273</v>
      </c>
    </row>
    <row r="12" spans="1:29" x14ac:dyDescent="0.35">
      <c r="A12" s="45" t="s">
        <v>35</v>
      </c>
      <c r="B12" s="46"/>
      <c r="C12" s="47" t="s">
        <v>2</v>
      </c>
      <c r="D12" s="113" t="s">
        <v>331</v>
      </c>
      <c r="E12" s="114" t="s">
        <v>331</v>
      </c>
      <c r="F12" s="114" t="s">
        <v>331</v>
      </c>
      <c r="G12" s="115" t="s">
        <v>331</v>
      </c>
      <c r="H12" s="115" t="s">
        <v>331</v>
      </c>
      <c r="I12" s="116" t="s">
        <v>331</v>
      </c>
      <c r="J12" s="50" t="s">
        <v>148</v>
      </c>
      <c r="K12" s="48" t="s">
        <v>274</v>
      </c>
      <c r="L12" s="48" t="s">
        <v>275</v>
      </c>
      <c r="M12" s="48" t="s">
        <v>115</v>
      </c>
      <c r="N12" s="49" t="s">
        <v>48</v>
      </c>
      <c r="O12" s="50" t="s">
        <v>148</v>
      </c>
      <c r="P12" s="48" t="s">
        <v>276</v>
      </c>
      <c r="Q12" s="48" t="s">
        <v>277</v>
      </c>
      <c r="R12" s="48" t="s">
        <v>87</v>
      </c>
      <c r="S12" s="48" t="s">
        <v>87</v>
      </c>
      <c r="T12" s="49" t="s">
        <v>48</v>
      </c>
      <c r="U12" s="50" t="s">
        <v>148</v>
      </c>
      <c r="V12" s="48" t="s">
        <v>263</v>
      </c>
      <c r="W12" s="48" t="s">
        <v>278</v>
      </c>
      <c r="X12" s="48" t="s">
        <v>225</v>
      </c>
      <c r="Y12" s="48" t="s">
        <v>115</v>
      </c>
      <c r="Z12" s="49" t="s">
        <v>48</v>
      </c>
      <c r="AA12" s="134">
        <v>0.94</v>
      </c>
      <c r="AB12" s="129" t="s">
        <v>566</v>
      </c>
      <c r="AC12" s="43"/>
    </row>
    <row r="13" spans="1:29" x14ac:dyDescent="0.35">
      <c r="A13" s="45" t="s">
        <v>37</v>
      </c>
      <c r="B13" s="46"/>
      <c r="C13" s="47" t="s">
        <v>2</v>
      </c>
      <c r="D13" s="113" t="s">
        <v>134</v>
      </c>
      <c r="E13" s="114" t="s">
        <v>153</v>
      </c>
      <c r="F13" s="114" t="s">
        <v>154</v>
      </c>
      <c r="G13" s="115" t="s">
        <v>115</v>
      </c>
      <c r="H13" s="115" t="s">
        <v>115</v>
      </c>
      <c r="I13" s="116" t="s">
        <v>47</v>
      </c>
      <c r="J13" s="50" t="s">
        <v>148</v>
      </c>
      <c r="K13" s="48" t="s">
        <v>193</v>
      </c>
      <c r="L13" s="48" t="s">
        <v>194</v>
      </c>
      <c r="M13" s="48" t="s">
        <v>115</v>
      </c>
      <c r="N13" s="49" t="s">
        <v>47</v>
      </c>
      <c r="O13" s="50" t="s">
        <v>148</v>
      </c>
      <c r="P13" s="48" t="s">
        <v>195</v>
      </c>
      <c r="Q13" s="48" t="s">
        <v>196</v>
      </c>
      <c r="R13" s="48" t="s">
        <v>220</v>
      </c>
      <c r="S13" s="48" t="s">
        <v>87</v>
      </c>
      <c r="T13" s="49" t="s">
        <v>47</v>
      </c>
      <c r="U13" s="50" t="s">
        <v>148</v>
      </c>
      <c r="V13" s="48" t="s">
        <v>279</v>
      </c>
      <c r="W13" s="48" t="s">
        <v>280</v>
      </c>
      <c r="X13" s="48" t="s">
        <v>225</v>
      </c>
      <c r="Y13" s="48" t="s">
        <v>115</v>
      </c>
      <c r="Z13" s="49" t="s">
        <v>47</v>
      </c>
      <c r="AA13" s="129" t="s">
        <v>552</v>
      </c>
      <c r="AB13" s="129" t="s">
        <v>552</v>
      </c>
      <c r="AC13" s="43"/>
    </row>
    <row r="14" spans="1:29" x14ac:dyDescent="0.35">
      <c r="A14" s="30" t="s">
        <v>38</v>
      </c>
      <c r="B14" s="21"/>
      <c r="C14" s="44" t="s">
        <v>2</v>
      </c>
      <c r="D14" s="113" t="s">
        <v>148</v>
      </c>
      <c r="E14" s="114" t="s">
        <v>155</v>
      </c>
      <c r="F14" s="114" t="s">
        <v>156</v>
      </c>
      <c r="G14" s="115" t="s">
        <v>115</v>
      </c>
      <c r="H14" s="115" t="s">
        <v>115</v>
      </c>
      <c r="I14" s="116" t="s">
        <v>48</v>
      </c>
      <c r="J14" s="28" t="s">
        <v>148</v>
      </c>
      <c r="K14" s="20" t="s">
        <v>197</v>
      </c>
      <c r="L14" s="20" t="s">
        <v>198</v>
      </c>
      <c r="M14" s="20" t="s">
        <v>115</v>
      </c>
      <c r="N14" s="29" t="s">
        <v>49</v>
      </c>
      <c r="O14" s="28" t="s">
        <v>134</v>
      </c>
      <c r="P14" s="20" t="s">
        <v>199</v>
      </c>
      <c r="Q14" s="20" t="s">
        <v>200</v>
      </c>
      <c r="R14" s="20" t="s">
        <v>87</v>
      </c>
      <c r="S14" s="20" t="s">
        <v>87</v>
      </c>
      <c r="T14" s="29" t="s">
        <v>61</v>
      </c>
      <c r="U14" s="28" t="s">
        <v>148</v>
      </c>
      <c r="V14" s="20" t="s">
        <v>281</v>
      </c>
      <c r="W14" s="20" t="s">
        <v>282</v>
      </c>
      <c r="X14" s="20" t="s">
        <v>87</v>
      </c>
      <c r="Y14" s="20" t="s">
        <v>87</v>
      </c>
      <c r="Z14" s="29" t="s">
        <v>49</v>
      </c>
      <c r="AA14" s="129" t="s">
        <v>552</v>
      </c>
      <c r="AB14" s="129" t="s">
        <v>552</v>
      </c>
      <c r="AC14" s="43"/>
    </row>
    <row r="15" spans="1:29" x14ac:dyDescent="0.35">
      <c r="A15" s="30" t="s">
        <v>39</v>
      </c>
      <c r="B15" s="21"/>
      <c r="C15" s="44" t="s">
        <v>2</v>
      </c>
      <c r="D15" s="15" t="s">
        <v>148</v>
      </c>
      <c r="E15" s="16" t="s">
        <v>508</v>
      </c>
      <c r="F15" s="16" t="s">
        <v>509</v>
      </c>
      <c r="G15" s="17" t="s">
        <v>115</v>
      </c>
      <c r="H15" s="17" t="s">
        <v>87</v>
      </c>
      <c r="I15" s="18" t="s">
        <v>51</v>
      </c>
      <c r="J15" s="28" t="s">
        <v>148</v>
      </c>
      <c r="K15" s="20" t="s">
        <v>201</v>
      </c>
      <c r="L15" s="20" t="s">
        <v>202</v>
      </c>
      <c r="M15" s="20" t="s">
        <v>115</v>
      </c>
      <c r="N15" s="29" t="s">
        <v>57</v>
      </c>
      <c r="O15" s="28" t="s">
        <v>148</v>
      </c>
      <c r="P15" s="23" t="s">
        <v>323</v>
      </c>
      <c r="Q15" s="20" t="s">
        <v>324</v>
      </c>
      <c r="R15" s="20" t="s">
        <v>225</v>
      </c>
      <c r="S15" s="20" t="s">
        <v>87</v>
      </c>
      <c r="T15" s="29" t="s">
        <v>57</v>
      </c>
      <c r="U15" s="28" t="s">
        <v>134</v>
      </c>
      <c r="V15" s="20" t="s">
        <v>325</v>
      </c>
      <c r="W15" s="20" t="s">
        <v>326</v>
      </c>
      <c r="X15" s="20" t="s">
        <v>225</v>
      </c>
      <c r="Y15" s="20" t="s">
        <v>87</v>
      </c>
      <c r="Z15" s="29" t="s">
        <v>51</v>
      </c>
      <c r="AA15" s="129" t="s">
        <v>552</v>
      </c>
      <c r="AB15" s="129" t="s">
        <v>552</v>
      </c>
      <c r="AC15" s="43" t="s">
        <v>283</v>
      </c>
    </row>
    <row r="16" spans="1:29" x14ac:dyDescent="0.35">
      <c r="A16" s="45" t="s">
        <v>40</v>
      </c>
      <c r="B16" s="46"/>
      <c r="C16" s="47" t="s">
        <v>2</v>
      </c>
      <c r="D16" s="15" t="s">
        <v>144</v>
      </c>
      <c r="E16" s="16" t="s">
        <v>352</v>
      </c>
      <c r="F16" s="16" t="s">
        <v>510</v>
      </c>
      <c r="G16" s="17" t="s">
        <v>87</v>
      </c>
      <c r="H16" s="17" t="s">
        <v>87</v>
      </c>
      <c r="I16" s="18" t="s">
        <v>61</v>
      </c>
      <c r="J16" s="50" t="s">
        <v>148</v>
      </c>
      <c r="K16" s="48" t="s">
        <v>203</v>
      </c>
      <c r="L16" s="48" t="s">
        <v>204</v>
      </c>
      <c r="M16" s="48" t="s">
        <v>115</v>
      </c>
      <c r="N16" s="49" t="s">
        <v>50</v>
      </c>
      <c r="O16" s="50" t="s">
        <v>148</v>
      </c>
      <c r="P16" s="48" t="s">
        <v>205</v>
      </c>
      <c r="Q16" s="48" t="s">
        <v>206</v>
      </c>
      <c r="R16" s="48" t="s">
        <v>225</v>
      </c>
      <c r="S16" s="48" t="s">
        <v>87</v>
      </c>
      <c r="T16" s="49" t="s">
        <v>50</v>
      </c>
      <c r="U16" s="50" t="s">
        <v>148</v>
      </c>
      <c r="V16" s="48" t="s">
        <v>263</v>
      </c>
      <c r="W16" s="48" t="s">
        <v>284</v>
      </c>
      <c r="X16" s="48" t="s">
        <v>225</v>
      </c>
      <c r="Y16" s="48" t="s">
        <v>115</v>
      </c>
      <c r="Z16" s="49" t="s">
        <v>50</v>
      </c>
      <c r="AA16" s="129" t="s">
        <v>552</v>
      </c>
      <c r="AB16" s="129" t="s">
        <v>552</v>
      </c>
      <c r="AC16" s="43" t="s">
        <v>285</v>
      </c>
    </row>
    <row r="17" spans="1:29" x14ac:dyDescent="0.35">
      <c r="A17" s="30" t="s">
        <v>25</v>
      </c>
      <c r="B17" s="21"/>
      <c r="C17" s="44" t="s">
        <v>2</v>
      </c>
      <c r="D17" s="15" t="s">
        <v>125</v>
      </c>
      <c r="E17" s="16" t="s">
        <v>505</v>
      </c>
      <c r="F17" s="16" t="s">
        <v>506</v>
      </c>
      <c r="G17" s="17" t="s">
        <v>87</v>
      </c>
      <c r="H17" s="17" t="s">
        <v>87</v>
      </c>
      <c r="I17" s="18" t="s">
        <v>50</v>
      </c>
      <c r="J17" s="28" t="s">
        <v>331</v>
      </c>
      <c r="K17" s="20" t="s">
        <v>331</v>
      </c>
      <c r="L17" s="20" t="s">
        <v>331</v>
      </c>
      <c r="M17" s="20" t="s">
        <v>331</v>
      </c>
      <c r="N17" s="29" t="s">
        <v>331</v>
      </c>
      <c r="O17" s="28" t="s">
        <v>148</v>
      </c>
      <c r="P17" s="20" t="s">
        <v>391</v>
      </c>
      <c r="Q17" s="20" t="s">
        <v>503</v>
      </c>
      <c r="R17" s="20" t="s">
        <v>225</v>
      </c>
      <c r="S17" s="20" t="s">
        <v>87</v>
      </c>
      <c r="T17" s="29" t="s">
        <v>50</v>
      </c>
      <c r="U17" s="28" t="s">
        <v>148</v>
      </c>
      <c r="V17" s="20" t="s">
        <v>504</v>
      </c>
      <c r="W17" s="20" t="s">
        <v>194</v>
      </c>
      <c r="X17" s="20" t="s">
        <v>225</v>
      </c>
      <c r="Y17" s="20" t="s">
        <v>115</v>
      </c>
      <c r="Z17" s="29" t="s">
        <v>50</v>
      </c>
      <c r="AA17" s="129" t="s">
        <v>552</v>
      </c>
      <c r="AB17" s="129" t="s">
        <v>552</v>
      </c>
      <c r="AC17" s="43"/>
    </row>
    <row r="18" spans="1:29" x14ac:dyDescent="0.35">
      <c r="A18" s="45" t="s">
        <v>65</v>
      </c>
      <c r="B18" s="46"/>
      <c r="C18" s="47" t="s">
        <v>2</v>
      </c>
      <c r="D18" s="15" t="s">
        <v>129</v>
      </c>
      <c r="E18" s="16" t="s">
        <v>511</v>
      </c>
      <c r="F18" s="16" t="s">
        <v>512</v>
      </c>
      <c r="G18" s="17" t="s">
        <v>87</v>
      </c>
      <c r="H18" s="17" t="s">
        <v>87</v>
      </c>
      <c r="I18" s="18" t="s">
        <v>49</v>
      </c>
      <c r="J18" s="50" t="s">
        <v>129</v>
      </c>
      <c r="K18" s="48" t="s">
        <v>207</v>
      </c>
      <c r="L18" s="48" t="s">
        <v>208</v>
      </c>
      <c r="M18" s="48" t="s">
        <v>115</v>
      </c>
      <c r="N18" s="49" t="s">
        <v>49</v>
      </c>
      <c r="O18" s="50" t="s">
        <v>129</v>
      </c>
      <c r="P18" s="48" t="s">
        <v>209</v>
      </c>
      <c r="Q18" s="48" t="s">
        <v>210</v>
      </c>
      <c r="R18" s="48" t="s">
        <v>225</v>
      </c>
      <c r="S18" s="48" t="s">
        <v>87</v>
      </c>
      <c r="T18" s="49" t="s">
        <v>49</v>
      </c>
      <c r="U18" s="50" t="s">
        <v>129</v>
      </c>
      <c r="V18" s="48" t="s">
        <v>287</v>
      </c>
      <c r="W18" s="48" t="s">
        <v>288</v>
      </c>
      <c r="X18" s="48" t="s">
        <v>87</v>
      </c>
      <c r="Y18" s="48" t="s">
        <v>87</v>
      </c>
      <c r="Z18" s="49" t="s">
        <v>49</v>
      </c>
      <c r="AA18" s="129" t="s">
        <v>552</v>
      </c>
      <c r="AB18" s="129" t="s">
        <v>552</v>
      </c>
      <c r="AC18" s="43"/>
    </row>
    <row r="19" spans="1:29" x14ac:dyDescent="0.35">
      <c r="A19" s="30" t="s">
        <v>67</v>
      </c>
      <c r="B19" s="21"/>
      <c r="C19" s="44" t="s">
        <v>2</v>
      </c>
      <c r="D19" s="113" t="s">
        <v>382</v>
      </c>
      <c r="E19" s="114" t="s">
        <v>515</v>
      </c>
      <c r="F19" s="114" t="s">
        <v>516</v>
      </c>
      <c r="G19" s="115" t="s">
        <v>115</v>
      </c>
      <c r="H19" s="115" t="s">
        <v>87</v>
      </c>
      <c r="I19" s="116" t="s">
        <v>50</v>
      </c>
      <c r="J19" s="28" t="s">
        <v>148</v>
      </c>
      <c r="K19" s="20" t="s">
        <v>289</v>
      </c>
      <c r="L19" s="20" t="s">
        <v>290</v>
      </c>
      <c r="M19" s="20" t="s">
        <v>115</v>
      </c>
      <c r="N19" s="29" t="s">
        <v>184</v>
      </c>
      <c r="O19" s="28" t="s">
        <v>148</v>
      </c>
      <c r="P19" s="20" t="s">
        <v>211</v>
      </c>
      <c r="Q19" s="20" t="s">
        <v>212</v>
      </c>
      <c r="R19" s="20" t="s">
        <v>87</v>
      </c>
      <c r="S19" s="20" t="s">
        <v>87</v>
      </c>
      <c r="T19" s="29" t="s">
        <v>184</v>
      </c>
      <c r="U19" s="28" t="s">
        <v>125</v>
      </c>
      <c r="V19" s="20" t="s">
        <v>229</v>
      </c>
      <c r="W19" s="20" t="s">
        <v>291</v>
      </c>
      <c r="X19" s="20" t="s">
        <v>225</v>
      </c>
      <c r="Y19" s="20" t="s">
        <v>87</v>
      </c>
      <c r="Z19" s="29" t="s">
        <v>49</v>
      </c>
      <c r="AA19" s="126" t="s">
        <v>553</v>
      </c>
      <c r="AB19" s="126" t="s">
        <v>569</v>
      </c>
      <c r="AC19" s="43"/>
    </row>
    <row r="20" spans="1:29" ht="15" thickBot="1" x14ac:dyDescent="0.4">
      <c r="A20" s="45" t="s">
        <v>26</v>
      </c>
      <c r="B20" s="46"/>
      <c r="C20" s="47" t="s">
        <v>2</v>
      </c>
      <c r="D20" s="15" t="s">
        <v>125</v>
      </c>
      <c r="E20" s="16" t="s">
        <v>513</v>
      </c>
      <c r="F20" s="16" t="s">
        <v>514</v>
      </c>
      <c r="G20" s="17" t="s">
        <v>115</v>
      </c>
      <c r="H20" s="17" t="s">
        <v>87</v>
      </c>
      <c r="I20" s="18" t="s">
        <v>48</v>
      </c>
      <c r="J20" s="50" t="s">
        <v>148</v>
      </c>
      <c r="K20" s="48" t="s">
        <v>215</v>
      </c>
      <c r="L20" s="48" t="s">
        <v>216</v>
      </c>
      <c r="M20" s="48" t="s">
        <v>115</v>
      </c>
      <c r="N20" s="49" t="s">
        <v>48</v>
      </c>
      <c r="O20" s="50" t="s">
        <v>148</v>
      </c>
      <c r="P20" s="48" t="s">
        <v>213</v>
      </c>
      <c r="Q20" s="48" t="s">
        <v>214</v>
      </c>
      <c r="R20" s="48" t="s">
        <v>225</v>
      </c>
      <c r="S20" s="48" t="s">
        <v>87</v>
      </c>
      <c r="T20" s="49" t="s">
        <v>48</v>
      </c>
      <c r="U20" s="50" t="s">
        <v>148</v>
      </c>
      <c r="V20" s="48" t="s">
        <v>292</v>
      </c>
      <c r="W20" s="48" t="s">
        <v>293</v>
      </c>
      <c r="X20" s="48" t="s">
        <v>225</v>
      </c>
      <c r="Y20" s="48" t="s">
        <v>115</v>
      </c>
      <c r="Z20" s="49" t="s">
        <v>48</v>
      </c>
      <c r="AA20" s="127" t="s">
        <v>552</v>
      </c>
      <c r="AB20" s="127" t="s">
        <v>552</v>
      </c>
      <c r="AC20" s="43"/>
    </row>
    <row r="21" spans="1:29" x14ac:dyDescent="0.35">
      <c r="A21" s="77" t="s">
        <v>10</v>
      </c>
      <c r="B21" s="70"/>
      <c r="C21" s="71" t="s">
        <v>3</v>
      </c>
      <c r="D21" s="11" t="s">
        <v>141</v>
      </c>
      <c r="E21" s="12" t="s">
        <v>479</v>
      </c>
      <c r="F21" s="12" t="s">
        <v>517</v>
      </c>
      <c r="G21" s="13" t="s">
        <v>87</v>
      </c>
      <c r="H21" s="13" t="s">
        <v>87</v>
      </c>
      <c r="I21" s="14" t="s">
        <v>47</v>
      </c>
      <c r="J21" s="76" t="s">
        <v>148</v>
      </c>
      <c r="K21" s="72">
        <v>373</v>
      </c>
      <c r="L21" s="72">
        <v>-293.39999999999998</v>
      </c>
      <c r="M21" s="72" t="s">
        <v>115</v>
      </c>
      <c r="N21" s="73" t="s">
        <v>47</v>
      </c>
      <c r="O21" s="76" t="s">
        <v>126</v>
      </c>
      <c r="P21" s="72">
        <v>263</v>
      </c>
      <c r="Q21" s="72">
        <v>50.6</v>
      </c>
      <c r="R21" s="72" t="s">
        <v>225</v>
      </c>
      <c r="S21" s="72" t="s">
        <v>87</v>
      </c>
      <c r="T21" s="73" t="s">
        <v>47</v>
      </c>
      <c r="U21" s="82">
        <v>5</v>
      </c>
      <c r="V21" s="83">
        <v>666</v>
      </c>
      <c r="W21" s="83">
        <v>-39.299999999999997</v>
      </c>
      <c r="X21" s="83" t="s">
        <v>225</v>
      </c>
      <c r="Y21" s="83" t="s">
        <v>115</v>
      </c>
      <c r="Z21" s="84" t="s">
        <v>47</v>
      </c>
      <c r="AA21" s="133">
        <v>1</v>
      </c>
      <c r="AB21" s="128" t="s">
        <v>552</v>
      </c>
      <c r="AC21" s="80"/>
    </row>
    <row r="22" spans="1:29" x14ac:dyDescent="0.35">
      <c r="A22" s="78" t="s">
        <v>13</v>
      </c>
      <c r="B22" s="21"/>
      <c r="C22" s="44" t="s">
        <v>3</v>
      </c>
      <c r="D22" s="11" t="s">
        <v>147</v>
      </c>
      <c r="E22" s="12" t="s">
        <v>484</v>
      </c>
      <c r="F22" s="12" t="s">
        <v>485</v>
      </c>
      <c r="G22" s="13" t="s">
        <v>115</v>
      </c>
      <c r="H22" s="13" t="s">
        <v>87</v>
      </c>
      <c r="I22" s="14" t="s">
        <v>50</v>
      </c>
      <c r="J22" s="28" t="s">
        <v>148</v>
      </c>
      <c r="K22" s="8">
        <v>449</v>
      </c>
      <c r="L22" s="8">
        <v>-78.2</v>
      </c>
      <c r="M22" s="8" t="s">
        <v>115</v>
      </c>
      <c r="N22" s="74" t="s">
        <v>465</v>
      </c>
      <c r="O22" s="28" t="s">
        <v>148</v>
      </c>
      <c r="P22" s="8">
        <v>408</v>
      </c>
      <c r="Q22" s="8">
        <v>75.3</v>
      </c>
      <c r="R22" s="8" t="s">
        <v>225</v>
      </c>
      <c r="S22" s="8" t="s">
        <v>87</v>
      </c>
      <c r="T22" s="74" t="s">
        <v>465</v>
      </c>
      <c r="U22" s="85">
        <v>1</v>
      </c>
      <c r="V22" s="5">
        <v>597</v>
      </c>
      <c r="W22" s="5">
        <v>-41.7</v>
      </c>
      <c r="X22" s="5" t="s">
        <v>225</v>
      </c>
      <c r="Y22" s="5" t="s">
        <v>87</v>
      </c>
      <c r="Z22" s="86" t="s">
        <v>465</v>
      </c>
      <c r="AA22" s="134">
        <v>1</v>
      </c>
      <c r="AB22" s="129" t="s">
        <v>559</v>
      </c>
      <c r="AC22" s="81"/>
    </row>
    <row r="23" spans="1:29" x14ac:dyDescent="0.35">
      <c r="A23" s="78" t="s">
        <v>73</v>
      </c>
      <c r="B23" s="21"/>
      <c r="C23" s="44" t="s">
        <v>3</v>
      </c>
      <c r="D23" s="11" t="s">
        <v>331</v>
      </c>
      <c r="E23" s="12" t="s">
        <v>331</v>
      </c>
      <c r="F23" s="12" t="s">
        <v>331</v>
      </c>
      <c r="G23" s="13" t="s">
        <v>331</v>
      </c>
      <c r="H23" s="13" t="s">
        <v>331</v>
      </c>
      <c r="I23" s="14" t="s">
        <v>331</v>
      </c>
      <c r="J23" s="28" t="s">
        <v>125</v>
      </c>
      <c r="K23" s="8">
        <v>385</v>
      </c>
      <c r="L23" s="8">
        <v>-77.7</v>
      </c>
      <c r="M23" s="8" t="s">
        <v>115</v>
      </c>
      <c r="N23" s="74" t="s">
        <v>57</v>
      </c>
      <c r="O23" s="89" t="s">
        <v>125</v>
      </c>
      <c r="P23" s="8">
        <v>449</v>
      </c>
      <c r="Q23" s="8">
        <v>125.5</v>
      </c>
      <c r="R23" s="8" t="s">
        <v>225</v>
      </c>
      <c r="S23" s="8" t="s">
        <v>115</v>
      </c>
      <c r="T23" s="74" t="s">
        <v>57</v>
      </c>
      <c r="U23" s="85">
        <v>4</v>
      </c>
      <c r="V23" s="5">
        <v>609</v>
      </c>
      <c r="W23" s="5">
        <v>-109.3</v>
      </c>
      <c r="X23" s="5" t="s">
        <v>225</v>
      </c>
      <c r="Y23" s="5" t="s">
        <v>115</v>
      </c>
      <c r="Z23" s="86" t="s">
        <v>57</v>
      </c>
      <c r="AA23" s="129" t="s">
        <v>552</v>
      </c>
      <c r="AB23" s="129" t="s">
        <v>552</v>
      </c>
      <c r="AC23" s="81" t="s">
        <v>466</v>
      </c>
    </row>
    <row r="24" spans="1:29" x14ac:dyDescent="0.35">
      <c r="A24" s="78" t="s">
        <v>17</v>
      </c>
      <c r="B24" s="21"/>
      <c r="C24" s="44" t="s">
        <v>3</v>
      </c>
      <c r="D24" s="11" t="s">
        <v>134</v>
      </c>
      <c r="E24" s="12" t="s">
        <v>354</v>
      </c>
      <c r="F24" s="12" t="s">
        <v>518</v>
      </c>
      <c r="G24" s="13" t="s">
        <v>87</v>
      </c>
      <c r="H24" s="13" t="s">
        <v>87</v>
      </c>
      <c r="I24" s="14" t="s">
        <v>53</v>
      </c>
      <c r="J24" s="28" t="s">
        <v>331</v>
      </c>
      <c r="K24" s="8" t="s">
        <v>331</v>
      </c>
      <c r="L24" s="8" t="s">
        <v>331</v>
      </c>
      <c r="M24" s="8" t="s">
        <v>331</v>
      </c>
      <c r="N24" s="74" t="s">
        <v>331</v>
      </c>
      <c r="O24" s="28" t="s">
        <v>148</v>
      </c>
      <c r="P24" s="8">
        <v>439</v>
      </c>
      <c r="Q24" s="8">
        <v>90.7</v>
      </c>
      <c r="R24" s="8" t="s">
        <v>87</v>
      </c>
      <c r="S24" s="8" t="s">
        <v>87</v>
      </c>
      <c r="T24" s="74" t="s">
        <v>49</v>
      </c>
      <c r="U24" s="85">
        <v>1</v>
      </c>
      <c r="V24" s="5">
        <v>646</v>
      </c>
      <c r="W24" s="5">
        <v>-19.5</v>
      </c>
      <c r="X24" s="5" t="s">
        <v>225</v>
      </c>
      <c r="Y24" s="5" t="s">
        <v>115</v>
      </c>
      <c r="Z24" s="86" t="s">
        <v>49</v>
      </c>
      <c r="AA24" s="134">
        <v>0.98</v>
      </c>
      <c r="AB24" s="129" t="s">
        <v>561</v>
      </c>
      <c r="AC24" s="81"/>
    </row>
    <row r="25" spans="1:29" x14ac:dyDescent="0.35">
      <c r="A25" s="78" t="s">
        <v>18</v>
      </c>
      <c r="B25" s="21"/>
      <c r="C25" s="44" t="s">
        <v>3</v>
      </c>
      <c r="D25" s="109" t="s">
        <v>141</v>
      </c>
      <c r="E25" s="41" t="s">
        <v>519</v>
      </c>
      <c r="F25" s="41" t="s">
        <v>520</v>
      </c>
      <c r="G25" s="110" t="s">
        <v>115</v>
      </c>
      <c r="H25" s="110" t="s">
        <v>87</v>
      </c>
      <c r="I25" s="111" t="s">
        <v>47</v>
      </c>
      <c r="J25" s="28" t="s">
        <v>126</v>
      </c>
      <c r="K25" s="8">
        <v>483</v>
      </c>
      <c r="L25" s="8">
        <v>28.5</v>
      </c>
      <c r="M25" s="8" t="s">
        <v>115</v>
      </c>
      <c r="N25" s="74" t="s">
        <v>48</v>
      </c>
      <c r="O25" s="28" t="s">
        <v>148</v>
      </c>
      <c r="P25" s="8">
        <v>459</v>
      </c>
      <c r="Q25" s="8">
        <v>65.3</v>
      </c>
      <c r="R25" s="8" t="s">
        <v>225</v>
      </c>
      <c r="S25" s="8" t="s">
        <v>87</v>
      </c>
      <c r="T25" s="74" t="s">
        <v>47</v>
      </c>
      <c r="U25" s="85">
        <v>5</v>
      </c>
      <c r="V25" s="5">
        <v>653</v>
      </c>
      <c r="W25" s="5">
        <v>25.4</v>
      </c>
      <c r="X25" s="5" t="s">
        <v>225</v>
      </c>
      <c r="Y25" s="5" t="s">
        <v>87</v>
      </c>
      <c r="Z25" s="86" t="s">
        <v>48</v>
      </c>
      <c r="AA25" s="129" t="s">
        <v>552</v>
      </c>
      <c r="AB25" s="129" t="s">
        <v>563</v>
      </c>
      <c r="AC25" s="81"/>
    </row>
    <row r="26" spans="1:29" x14ac:dyDescent="0.35">
      <c r="A26" s="78" t="s">
        <v>82</v>
      </c>
      <c r="B26" s="21"/>
      <c r="C26" s="44" t="s">
        <v>3</v>
      </c>
      <c r="D26" s="11" t="s">
        <v>521</v>
      </c>
      <c r="E26" s="12" t="s">
        <v>383</v>
      </c>
      <c r="F26" s="12" t="s">
        <v>522</v>
      </c>
      <c r="G26" s="13" t="s">
        <v>115</v>
      </c>
      <c r="H26" s="13" t="s">
        <v>87</v>
      </c>
      <c r="I26" s="14" t="s">
        <v>50</v>
      </c>
      <c r="J26" s="28" t="s">
        <v>126</v>
      </c>
      <c r="K26" s="8">
        <v>511</v>
      </c>
      <c r="L26" s="8">
        <v>-84.2</v>
      </c>
      <c r="M26" s="8" t="s">
        <v>115</v>
      </c>
      <c r="N26" s="74" t="s">
        <v>50</v>
      </c>
      <c r="O26" s="28" t="s">
        <v>148</v>
      </c>
      <c r="P26" s="8">
        <v>381</v>
      </c>
      <c r="Q26" s="8">
        <v>248.4</v>
      </c>
      <c r="R26" s="8" t="s">
        <v>87</v>
      </c>
      <c r="S26" s="8" t="s">
        <v>87</v>
      </c>
      <c r="T26" s="74" t="s">
        <v>50</v>
      </c>
      <c r="U26" s="85">
        <v>1</v>
      </c>
      <c r="V26" s="5">
        <v>644</v>
      </c>
      <c r="W26" s="5">
        <v>-81.2</v>
      </c>
      <c r="X26" s="5" t="s">
        <v>87</v>
      </c>
      <c r="Y26" s="5" t="s">
        <v>87</v>
      </c>
      <c r="Z26" s="86" t="s">
        <v>50</v>
      </c>
      <c r="AA26" s="129" t="s">
        <v>552</v>
      </c>
      <c r="AB26" s="129" t="s">
        <v>552</v>
      </c>
      <c r="AC26" s="81"/>
    </row>
    <row r="27" spans="1:29" x14ac:dyDescent="0.35">
      <c r="A27" s="78" t="s">
        <v>84</v>
      </c>
      <c r="B27" s="21"/>
      <c r="C27" s="44" t="s">
        <v>3</v>
      </c>
      <c r="D27" s="11" t="s">
        <v>331</v>
      </c>
      <c r="E27" s="12" t="s">
        <v>331</v>
      </c>
      <c r="F27" s="12" t="s">
        <v>331</v>
      </c>
      <c r="G27" s="13" t="s">
        <v>331</v>
      </c>
      <c r="H27" s="13" t="s">
        <v>331</v>
      </c>
      <c r="I27" s="14" t="s">
        <v>331</v>
      </c>
      <c r="J27" s="28" t="s">
        <v>148</v>
      </c>
      <c r="K27" s="8">
        <v>482</v>
      </c>
      <c r="L27" s="8">
        <v>-50.1</v>
      </c>
      <c r="M27" s="8" t="s">
        <v>115</v>
      </c>
      <c r="N27" s="74" t="s">
        <v>50</v>
      </c>
      <c r="O27" s="28" t="s">
        <v>148</v>
      </c>
      <c r="P27" s="8">
        <v>384</v>
      </c>
      <c r="Q27" s="8">
        <v>47.5</v>
      </c>
      <c r="R27" s="8" t="s">
        <v>87</v>
      </c>
      <c r="S27" s="8" t="s">
        <v>87</v>
      </c>
      <c r="T27" s="74" t="s">
        <v>50</v>
      </c>
      <c r="U27" s="85">
        <v>1</v>
      </c>
      <c r="V27" s="5">
        <v>615</v>
      </c>
      <c r="W27" s="5">
        <v>-50.4</v>
      </c>
      <c r="X27" s="5" t="s">
        <v>225</v>
      </c>
      <c r="Y27" s="5" t="s">
        <v>115</v>
      </c>
      <c r="Z27" s="86" t="s">
        <v>50</v>
      </c>
      <c r="AA27" s="134">
        <v>1</v>
      </c>
      <c r="AB27" s="129" t="s">
        <v>564</v>
      </c>
      <c r="AC27" s="81"/>
    </row>
    <row r="28" spans="1:29" x14ac:dyDescent="0.35">
      <c r="A28" s="78" t="s">
        <v>101</v>
      </c>
      <c r="B28" s="2"/>
      <c r="C28" s="44" t="s">
        <v>3</v>
      </c>
      <c r="D28" s="11" t="s">
        <v>331</v>
      </c>
      <c r="E28" s="12" t="s">
        <v>331</v>
      </c>
      <c r="F28" s="12" t="s">
        <v>331</v>
      </c>
      <c r="G28" s="13" t="s">
        <v>331</v>
      </c>
      <c r="H28" s="13" t="s">
        <v>331</v>
      </c>
      <c r="I28" s="14" t="s">
        <v>331</v>
      </c>
      <c r="J28" s="28" t="s">
        <v>148</v>
      </c>
      <c r="K28" s="8">
        <v>437</v>
      </c>
      <c r="L28" s="8">
        <v>-176.4</v>
      </c>
      <c r="M28" s="8" t="s">
        <v>115</v>
      </c>
      <c r="N28" s="74" t="s">
        <v>57</v>
      </c>
      <c r="O28" s="28" t="s">
        <v>148</v>
      </c>
      <c r="P28" s="8">
        <v>385</v>
      </c>
      <c r="Q28" s="8">
        <v>131.9</v>
      </c>
      <c r="R28" s="8" t="s">
        <v>87</v>
      </c>
      <c r="S28" s="8" t="s">
        <v>87</v>
      </c>
      <c r="T28" s="74" t="s">
        <v>57</v>
      </c>
      <c r="U28" s="85">
        <v>1</v>
      </c>
      <c r="V28" s="5">
        <v>656</v>
      </c>
      <c r="W28" s="5">
        <v>-120.1</v>
      </c>
      <c r="X28" s="5" t="s">
        <v>220</v>
      </c>
      <c r="Y28" s="5" t="s">
        <v>115</v>
      </c>
      <c r="Z28" s="86" t="s">
        <v>57</v>
      </c>
      <c r="AA28" s="129" t="s">
        <v>567</v>
      </c>
      <c r="AB28" s="129" t="s">
        <v>567</v>
      </c>
      <c r="AC28" s="81"/>
    </row>
    <row r="29" spans="1:29" x14ac:dyDescent="0.35">
      <c r="A29" s="78" t="s">
        <v>106</v>
      </c>
      <c r="B29" s="21"/>
      <c r="C29" s="44" t="s">
        <v>3</v>
      </c>
      <c r="D29" s="11" t="s">
        <v>142</v>
      </c>
      <c r="E29" s="12" t="s">
        <v>488</v>
      </c>
      <c r="F29" s="12" t="s">
        <v>523</v>
      </c>
      <c r="G29" s="13" t="s">
        <v>115</v>
      </c>
      <c r="H29" s="13" t="s">
        <v>87</v>
      </c>
      <c r="I29" s="14" t="s">
        <v>53</v>
      </c>
      <c r="J29" s="28" t="s">
        <v>331</v>
      </c>
      <c r="K29" s="8" t="s">
        <v>331</v>
      </c>
      <c r="L29" s="8" t="s">
        <v>331</v>
      </c>
      <c r="M29" s="8" t="s">
        <v>331</v>
      </c>
      <c r="N29" s="74" t="s">
        <v>331</v>
      </c>
      <c r="O29" s="28" t="s">
        <v>129</v>
      </c>
      <c r="P29" s="8">
        <v>500</v>
      </c>
      <c r="Q29" s="8">
        <v>19</v>
      </c>
      <c r="R29" s="8" t="s">
        <v>87</v>
      </c>
      <c r="S29" s="8" t="s">
        <v>87</v>
      </c>
      <c r="T29" s="74" t="s">
        <v>50</v>
      </c>
      <c r="U29" s="85" t="s">
        <v>331</v>
      </c>
      <c r="V29" s="5" t="s">
        <v>331</v>
      </c>
      <c r="W29" s="5" t="s">
        <v>331</v>
      </c>
      <c r="X29" s="5" t="s">
        <v>331</v>
      </c>
      <c r="Y29" s="5" t="s">
        <v>331</v>
      </c>
      <c r="Z29" s="86" t="s">
        <v>331</v>
      </c>
      <c r="AA29" s="134">
        <v>1</v>
      </c>
      <c r="AB29" s="129" t="s">
        <v>568</v>
      </c>
      <c r="AC29" s="81"/>
    </row>
    <row r="30" spans="1:29" x14ac:dyDescent="0.35">
      <c r="A30" s="78" t="s">
        <v>107</v>
      </c>
      <c r="B30" s="21"/>
      <c r="C30" s="44" t="s">
        <v>3</v>
      </c>
      <c r="D30" s="11" t="s">
        <v>331</v>
      </c>
      <c r="E30" s="12" t="s">
        <v>331</v>
      </c>
      <c r="F30" s="12" t="s">
        <v>331</v>
      </c>
      <c r="G30" s="13" t="s">
        <v>331</v>
      </c>
      <c r="H30" s="13" t="s">
        <v>331</v>
      </c>
      <c r="I30" s="14" t="s">
        <v>331</v>
      </c>
      <c r="J30" s="28" t="s">
        <v>141</v>
      </c>
      <c r="K30" s="8">
        <v>335</v>
      </c>
      <c r="L30" s="8">
        <v>-32.799999999999997</v>
      </c>
      <c r="M30" s="8" t="s">
        <v>115</v>
      </c>
      <c r="N30" s="74" t="s">
        <v>51</v>
      </c>
      <c r="O30" s="28" t="s">
        <v>331</v>
      </c>
      <c r="P30" s="8" t="s">
        <v>331</v>
      </c>
      <c r="Q30" s="8" t="s">
        <v>331</v>
      </c>
      <c r="R30" s="8" t="s">
        <v>331</v>
      </c>
      <c r="S30" s="8" t="s">
        <v>331</v>
      </c>
      <c r="T30" s="74" t="s">
        <v>331</v>
      </c>
      <c r="U30" s="85" t="s">
        <v>331</v>
      </c>
      <c r="V30" s="5" t="s">
        <v>331</v>
      </c>
      <c r="W30" s="5" t="s">
        <v>331</v>
      </c>
      <c r="X30" s="5" t="s">
        <v>331</v>
      </c>
      <c r="Y30" s="5" t="s">
        <v>331</v>
      </c>
      <c r="Z30" s="86" t="s">
        <v>331</v>
      </c>
      <c r="AA30" s="129" t="s">
        <v>552</v>
      </c>
      <c r="AB30" s="129" t="s">
        <v>552</v>
      </c>
      <c r="AC30" s="81" t="s">
        <v>467</v>
      </c>
    </row>
    <row r="31" spans="1:29" x14ac:dyDescent="0.35">
      <c r="A31" s="78" t="s">
        <v>108</v>
      </c>
      <c r="B31" s="21"/>
      <c r="C31" s="44" t="s">
        <v>3</v>
      </c>
      <c r="D31" s="11" t="s">
        <v>147</v>
      </c>
      <c r="E31" s="12" t="s">
        <v>524</v>
      </c>
      <c r="F31" s="12" t="s">
        <v>326</v>
      </c>
      <c r="G31" s="13" t="s">
        <v>115</v>
      </c>
      <c r="H31" s="13" t="s">
        <v>87</v>
      </c>
      <c r="I31" s="14" t="s">
        <v>50</v>
      </c>
      <c r="J31" s="28" t="s">
        <v>148</v>
      </c>
      <c r="K31" s="8">
        <v>459</v>
      </c>
      <c r="L31" s="8">
        <v>-98.4</v>
      </c>
      <c r="M31" s="8" t="s">
        <v>115</v>
      </c>
      <c r="N31" s="74" t="s">
        <v>50</v>
      </c>
      <c r="O31" s="28" t="s">
        <v>125</v>
      </c>
      <c r="P31" s="8">
        <v>332</v>
      </c>
      <c r="Q31" s="8">
        <v>75.099999999999994</v>
      </c>
      <c r="R31" s="8" t="s">
        <v>87</v>
      </c>
      <c r="S31" s="8" t="s">
        <v>87</v>
      </c>
      <c r="T31" s="74" t="s">
        <v>49</v>
      </c>
      <c r="U31" s="85">
        <v>1</v>
      </c>
      <c r="V31" s="5">
        <v>671</v>
      </c>
      <c r="W31" s="5">
        <v>-27.9</v>
      </c>
      <c r="X31" s="5" t="s">
        <v>225</v>
      </c>
      <c r="Y31" s="5" t="s">
        <v>87</v>
      </c>
      <c r="Z31" s="86" t="s">
        <v>50</v>
      </c>
      <c r="AA31" s="129" t="s">
        <v>552</v>
      </c>
      <c r="AB31" s="129" t="s">
        <v>552</v>
      </c>
      <c r="AC31" s="81"/>
    </row>
    <row r="32" spans="1:29" ht="15" thickBot="1" x14ac:dyDescent="0.4">
      <c r="A32" s="78" t="s">
        <v>110</v>
      </c>
      <c r="B32" s="21"/>
      <c r="C32" s="44" t="s">
        <v>3</v>
      </c>
      <c r="D32" s="11" t="s">
        <v>331</v>
      </c>
      <c r="E32" s="12" t="s">
        <v>331</v>
      </c>
      <c r="F32" s="12" t="s">
        <v>331</v>
      </c>
      <c r="G32" s="13" t="s">
        <v>331</v>
      </c>
      <c r="H32" s="13" t="s">
        <v>331</v>
      </c>
      <c r="I32" s="14" t="s">
        <v>331</v>
      </c>
      <c r="J32" s="28" t="s">
        <v>331</v>
      </c>
      <c r="K32" s="8" t="s">
        <v>331</v>
      </c>
      <c r="L32" s="8" t="s">
        <v>331</v>
      </c>
      <c r="M32" s="8" t="s">
        <v>331</v>
      </c>
      <c r="N32" s="74" t="s">
        <v>331</v>
      </c>
      <c r="O32" s="28" t="s">
        <v>148</v>
      </c>
      <c r="P32" s="8">
        <v>449</v>
      </c>
      <c r="Q32" s="8">
        <v>113.2</v>
      </c>
      <c r="R32" s="8" t="s">
        <v>87</v>
      </c>
      <c r="S32" s="8" t="s">
        <v>87</v>
      </c>
      <c r="T32" s="74" t="s">
        <v>50</v>
      </c>
      <c r="U32" s="85">
        <v>1</v>
      </c>
      <c r="V32" s="5">
        <v>707</v>
      </c>
      <c r="W32" s="5">
        <v>-73.099999999999994</v>
      </c>
      <c r="X32" s="5" t="s">
        <v>225</v>
      </c>
      <c r="Y32" s="5" t="s">
        <v>115</v>
      </c>
      <c r="Z32" s="86" t="s">
        <v>50</v>
      </c>
      <c r="AA32" s="134">
        <v>1</v>
      </c>
      <c r="AB32" s="129" t="s">
        <v>570</v>
      </c>
      <c r="AC32" s="81"/>
    </row>
    <row r="33" spans="1:29" x14ac:dyDescent="0.35">
      <c r="A33" s="77" t="s">
        <v>28</v>
      </c>
      <c r="B33" s="117"/>
      <c r="C33" s="71" t="s">
        <v>1</v>
      </c>
      <c r="D33" s="11" t="s">
        <v>126</v>
      </c>
      <c r="E33" s="12" t="s">
        <v>491</v>
      </c>
      <c r="F33" s="12" t="s">
        <v>492</v>
      </c>
      <c r="G33" s="13" t="s">
        <v>115</v>
      </c>
      <c r="H33" s="13" t="s">
        <v>87</v>
      </c>
      <c r="I33" s="14" t="s">
        <v>49</v>
      </c>
      <c r="J33" s="76" t="s">
        <v>331</v>
      </c>
      <c r="K33" s="72" t="s">
        <v>331</v>
      </c>
      <c r="L33" s="72" t="s">
        <v>331</v>
      </c>
      <c r="M33" s="72" t="s">
        <v>331</v>
      </c>
      <c r="N33" s="73" t="s">
        <v>331</v>
      </c>
      <c r="O33" s="76" t="s">
        <v>134</v>
      </c>
      <c r="P33" s="72">
        <v>458</v>
      </c>
      <c r="Q33" s="72">
        <v>57.1</v>
      </c>
      <c r="R33" s="72" t="s">
        <v>225</v>
      </c>
      <c r="S33" s="72" t="s">
        <v>115</v>
      </c>
      <c r="T33" s="73" t="s">
        <v>49</v>
      </c>
      <c r="U33" s="82">
        <v>3</v>
      </c>
      <c r="V33" s="83">
        <v>649</v>
      </c>
      <c r="W33" s="83">
        <v>-32</v>
      </c>
      <c r="X33" s="83" t="s">
        <v>225</v>
      </c>
      <c r="Y33" s="83" t="s">
        <v>115</v>
      </c>
      <c r="Z33" s="84" t="s">
        <v>49</v>
      </c>
      <c r="AA33" s="128" t="s">
        <v>552</v>
      </c>
      <c r="AB33" s="128" t="s">
        <v>552</v>
      </c>
      <c r="AC33" s="80"/>
    </row>
    <row r="34" spans="1:29" ht="15" thickBot="1" x14ac:dyDescent="0.4">
      <c r="A34" s="106" t="s">
        <v>6</v>
      </c>
      <c r="B34" s="9"/>
      <c r="C34" s="44" t="s">
        <v>1</v>
      </c>
      <c r="D34" s="11" t="s">
        <v>126</v>
      </c>
      <c r="E34" s="12" t="s">
        <v>436</v>
      </c>
      <c r="F34" s="12" t="s">
        <v>526</v>
      </c>
      <c r="G34" s="13" t="s">
        <v>115</v>
      </c>
      <c r="H34" s="13" t="s">
        <v>87</v>
      </c>
      <c r="I34" s="14" t="s">
        <v>49</v>
      </c>
      <c r="J34" s="28" t="s">
        <v>331</v>
      </c>
      <c r="K34" s="8" t="s">
        <v>331</v>
      </c>
      <c r="L34" s="8" t="s">
        <v>331</v>
      </c>
      <c r="M34" s="8" t="s">
        <v>331</v>
      </c>
      <c r="N34" s="74" t="s">
        <v>331</v>
      </c>
      <c r="O34" s="28" t="s">
        <v>129</v>
      </c>
      <c r="P34" s="8">
        <v>426</v>
      </c>
      <c r="Q34" s="8">
        <v>168</v>
      </c>
      <c r="R34" s="8" t="s">
        <v>225</v>
      </c>
      <c r="S34" s="8" t="s">
        <v>87</v>
      </c>
      <c r="T34" s="74" t="s">
        <v>50</v>
      </c>
      <c r="U34" s="85">
        <v>2</v>
      </c>
      <c r="V34" s="5">
        <v>619</v>
      </c>
      <c r="W34" s="5">
        <v>-74.2</v>
      </c>
      <c r="X34" s="5" t="s">
        <v>225</v>
      </c>
      <c r="Y34" s="5" t="s">
        <v>87</v>
      </c>
      <c r="Z34" s="86" t="s">
        <v>50</v>
      </c>
      <c r="AA34" s="126" t="s">
        <v>553</v>
      </c>
      <c r="AB34" s="126" t="s">
        <v>554</v>
      </c>
      <c r="AC34" s="81"/>
    </row>
    <row r="35" spans="1:29" x14ac:dyDescent="0.35">
      <c r="A35" s="78" t="s">
        <v>7</v>
      </c>
      <c r="B35" s="2"/>
      <c r="C35" s="44" t="s">
        <v>1</v>
      </c>
      <c r="D35" s="11" t="s">
        <v>382</v>
      </c>
      <c r="E35" s="12" t="s">
        <v>474</v>
      </c>
      <c r="F35" s="12" t="s">
        <v>475</v>
      </c>
      <c r="G35" s="13" t="s">
        <v>87</v>
      </c>
      <c r="H35" s="13" t="s">
        <v>87</v>
      </c>
      <c r="I35" s="14" t="s">
        <v>47</v>
      </c>
      <c r="J35" s="28" t="s">
        <v>382</v>
      </c>
      <c r="K35" s="8">
        <v>364</v>
      </c>
      <c r="L35" s="8">
        <v>-54.1</v>
      </c>
      <c r="M35" s="8" t="s">
        <v>115</v>
      </c>
      <c r="N35" s="74" t="s">
        <v>47</v>
      </c>
      <c r="O35" s="28" t="s">
        <v>148</v>
      </c>
      <c r="P35" s="8">
        <v>284</v>
      </c>
      <c r="Q35" s="8">
        <v>78.099999999999994</v>
      </c>
      <c r="R35" s="8" t="s">
        <v>225</v>
      </c>
      <c r="S35" s="8" t="s">
        <v>87</v>
      </c>
      <c r="T35" s="74" t="s">
        <v>47</v>
      </c>
      <c r="U35" s="85">
        <v>1</v>
      </c>
      <c r="V35" s="5">
        <v>635</v>
      </c>
      <c r="W35" s="5">
        <v>-128</v>
      </c>
      <c r="X35" s="5" t="s">
        <v>87</v>
      </c>
      <c r="Y35" s="5" t="s">
        <v>87</v>
      </c>
      <c r="Z35" s="86" t="s">
        <v>47</v>
      </c>
      <c r="AA35" s="128" t="s">
        <v>552</v>
      </c>
      <c r="AB35" s="128" t="s">
        <v>552</v>
      </c>
      <c r="AC35" s="81"/>
    </row>
    <row r="36" spans="1:29" x14ac:dyDescent="0.35">
      <c r="A36" s="78" t="s">
        <v>15</v>
      </c>
      <c r="B36" s="2"/>
      <c r="C36" s="44" t="s">
        <v>1</v>
      </c>
      <c r="D36" s="11" t="s">
        <v>331</v>
      </c>
      <c r="E36" s="12" t="s">
        <v>331</v>
      </c>
      <c r="F36" s="12" t="s">
        <v>331</v>
      </c>
      <c r="G36" s="13" t="s">
        <v>331</v>
      </c>
      <c r="H36" s="13" t="s">
        <v>331</v>
      </c>
      <c r="I36" s="14" t="s">
        <v>331</v>
      </c>
      <c r="J36" s="28" t="s">
        <v>331</v>
      </c>
      <c r="K36" s="8" t="s">
        <v>331</v>
      </c>
      <c r="L36" s="8" t="s">
        <v>331</v>
      </c>
      <c r="M36" s="8" t="s">
        <v>331</v>
      </c>
      <c r="N36" s="74" t="s">
        <v>331</v>
      </c>
      <c r="O36" s="28" t="s">
        <v>148</v>
      </c>
      <c r="P36" s="8">
        <v>398</v>
      </c>
      <c r="Q36" s="8">
        <v>176.8</v>
      </c>
      <c r="R36" s="8" t="s">
        <v>225</v>
      </c>
      <c r="S36" s="8" t="s">
        <v>87</v>
      </c>
      <c r="T36" s="74" t="s">
        <v>48</v>
      </c>
      <c r="U36" s="85">
        <v>1</v>
      </c>
      <c r="V36" s="5">
        <v>728</v>
      </c>
      <c r="W36" s="5">
        <v>-140.5</v>
      </c>
      <c r="X36" s="5" t="s">
        <v>225</v>
      </c>
      <c r="Y36" s="5" t="s">
        <v>115</v>
      </c>
      <c r="Z36" s="86" t="s">
        <v>48</v>
      </c>
      <c r="AA36" s="134">
        <v>0.98</v>
      </c>
      <c r="AB36" s="129" t="s">
        <v>560</v>
      </c>
      <c r="AC36" s="81"/>
    </row>
    <row r="37" spans="1:29" x14ac:dyDescent="0.35">
      <c r="A37" s="78" t="s">
        <v>75</v>
      </c>
      <c r="B37" s="2"/>
      <c r="C37" s="44" t="s">
        <v>1</v>
      </c>
      <c r="D37" s="11" t="s">
        <v>142</v>
      </c>
      <c r="E37" s="12" t="s">
        <v>528</v>
      </c>
      <c r="F37" s="12" t="s">
        <v>527</v>
      </c>
      <c r="G37" s="13" t="s">
        <v>115</v>
      </c>
      <c r="H37" s="13" t="s">
        <v>87</v>
      </c>
      <c r="I37" s="14" t="s">
        <v>48</v>
      </c>
      <c r="J37" s="28" t="s">
        <v>148</v>
      </c>
      <c r="K37" s="8">
        <v>551</v>
      </c>
      <c r="L37" s="8">
        <v>-103.5</v>
      </c>
      <c r="M37" s="8" t="s">
        <v>115</v>
      </c>
      <c r="N37" s="74" t="s">
        <v>48</v>
      </c>
      <c r="O37" s="28" t="s">
        <v>148</v>
      </c>
      <c r="P37" s="8">
        <v>397</v>
      </c>
      <c r="Q37" s="8">
        <v>184.6</v>
      </c>
      <c r="R37" s="8" t="s">
        <v>225</v>
      </c>
      <c r="S37" s="8" t="s">
        <v>87</v>
      </c>
      <c r="T37" s="74" t="s">
        <v>48</v>
      </c>
      <c r="U37" s="85">
        <v>1</v>
      </c>
      <c r="V37" s="5">
        <v>699</v>
      </c>
      <c r="W37" s="5">
        <v>-62.4</v>
      </c>
      <c r="X37" s="5" t="s">
        <v>225</v>
      </c>
      <c r="Y37" s="5" t="s">
        <v>87</v>
      </c>
      <c r="Z37" s="86" t="s">
        <v>48</v>
      </c>
      <c r="AA37" s="129" t="s">
        <v>552</v>
      </c>
      <c r="AB37" s="129" t="s">
        <v>552</v>
      </c>
      <c r="AC37" s="81"/>
    </row>
    <row r="38" spans="1:29" x14ac:dyDescent="0.35">
      <c r="A38" s="78" t="s">
        <v>16</v>
      </c>
      <c r="B38" s="2"/>
      <c r="C38" s="44" t="s">
        <v>1</v>
      </c>
      <c r="D38" s="11" t="s">
        <v>148</v>
      </c>
      <c r="E38" s="12" t="s">
        <v>132</v>
      </c>
      <c r="F38" s="12" t="s">
        <v>529</v>
      </c>
      <c r="G38" s="13" t="s">
        <v>87</v>
      </c>
      <c r="H38" s="13" t="s">
        <v>87</v>
      </c>
      <c r="I38" s="14" t="s">
        <v>51</v>
      </c>
      <c r="J38" s="28" t="s">
        <v>125</v>
      </c>
      <c r="K38" s="8">
        <v>496</v>
      </c>
      <c r="L38" s="8">
        <v>-58.6</v>
      </c>
      <c r="M38" s="8" t="s">
        <v>115</v>
      </c>
      <c r="N38" s="74" t="s">
        <v>57</v>
      </c>
      <c r="O38" s="28" t="s">
        <v>148</v>
      </c>
      <c r="P38" s="8">
        <v>472</v>
      </c>
      <c r="Q38" s="8">
        <v>82.9</v>
      </c>
      <c r="R38" s="8" t="s">
        <v>225</v>
      </c>
      <c r="S38" s="8" t="s">
        <v>87</v>
      </c>
      <c r="T38" s="74" t="s">
        <v>469</v>
      </c>
      <c r="U38" s="85" t="s">
        <v>331</v>
      </c>
      <c r="V38" s="5" t="s">
        <v>331</v>
      </c>
      <c r="W38" s="5" t="s">
        <v>331</v>
      </c>
      <c r="X38" s="5" t="s">
        <v>331</v>
      </c>
      <c r="Y38" s="5" t="s">
        <v>331</v>
      </c>
      <c r="Z38" s="86" t="s">
        <v>331</v>
      </c>
      <c r="AA38" s="134">
        <v>0.98</v>
      </c>
      <c r="AB38" s="129" t="s">
        <v>561</v>
      </c>
      <c r="AC38" s="81" t="s">
        <v>470</v>
      </c>
    </row>
    <row r="39" spans="1:29" x14ac:dyDescent="0.35">
      <c r="A39" s="78" t="s">
        <v>78</v>
      </c>
      <c r="B39" s="2"/>
      <c r="C39" s="44" t="s">
        <v>1</v>
      </c>
      <c r="D39" s="11" t="s">
        <v>331</v>
      </c>
      <c r="E39" s="12" t="s">
        <v>331</v>
      </c>
      <c r="F39" s="12" t="s">
        <v>331</v>
      </c>
      <c r="G39" s="13" t="s">
        <v>331</v>
      </c>
      <c r="H39" s="13" t="s">
        <v>331</v>
      </c>
      <c r="I39" s="14" t="s">
        <v>331</v>
      </c>
      <c r="J39" s="28" t="s">
        <v>331</v>
      </c>
      <c r="K39" s="8" t="s">
        <v>331</v>
      </c>
      <c r="L39" s="8" t="s">
        <v>331</v>
      </c>
      <c r="M39" s="8" t="s">
        <v>331</v>
      </c>
      <c r="N39" s="74" t="s">
        <v>331</v>
      </c>
      <c r="O39" s="28" t="s">
        <v>129</v>
      </c>
      <c r="P39" s="8">
        <v>547</v>
      </c>
      <c r="Q39" s="8">
        <v>48.8</v>
      </c>
      <c r="R39" s="8" t="s">
        <v>225</v>
      </c>
      <c r="S39" s="8" t="s">
        <v>87</v>
      </c>
      <c r="T39" s="74" t="s">
        <v>50</v>
      </c>
      <c r="U39" s="85">
        <v>2</v>
      </c>
      <c r="V39" s="5">
        <v>829</v>
      </c>
      <c r="W39" s="5">
        <v>-11.2</v>
      </c>
      <c r="X39" s="5" t="s">
        <v>87</v>
      </c>
      <c r="Y39" s="5" t="s">
        <v>87</v>
      </c>
      <c r="Z39" s="86" t="s">
        <v>50</v>
      </c>
      <c r="AA39" s="129" t="s">
        <v>552</v>
      </c>
      <c r="AB39" s="129" t="s">
        <v>562</v>
      </c>
      <c r="AC39" s="81"/>
    </row>
    <row r="40" spans="1:29" x14ac:dyDescent="0.35">
      <c r="A40" s="78" t="s">
        <v>19</v>
      </c>
      <c r="B40" s="2"/>
      <c r="C40" s="44" t="s">
        <v>1</v>
      </c>
      <c r="D40" s="11" t="s">
        <v>129</v>
      </c>
      <c r="E40" s="12" t="s">
        <v>530</v>
      </c>
      <c r="F40" s="12" t="s">
        <v>264</v>
      </c>
      <c r="G40" s="13" t="s">
        <v>87</v>
      </c>
      <c r="H40" s="13" t="s">
        <v>87</v>
      </c>
      <c r="I40" s="14" t="s">
        <v>50</v>
      </c>
      <c r="J40" s="28" t="s">
        <v>148</v>
      </c>
      <c r="K40" s="8">
        <v>381</v>
      </c>
      <c r="L40" s="8">
        <v>-143.4</v>
      </c>
      <c r="M40" s="8" t="s">
        <v>115</v>
      </c>
      <c r="N40" s="74" t="s">
        <v>50</v>
      </c>
      <c r="O40" s="28" t="s">
        <v>126</v>
      </c>
      <c r="P40" s="8">
        <v>399</v>
      </c>
      <c r="Q40" s="8">
        <v>73.400000000000006</v>
      </c>
      <c r="R40" s="8" t="s">
        <v>225</v>
      </c>
      <c r="S40" s="8" t="s">
        <v>87</v>
      </c>
      <c r="T40" s="74" t="s">
        <v>50</v>
      </c>
      <c r="U40" s="85">
        <v>5</v>
      </c>
      <c r="V40" s="5">
        <v>766</v>
      </c>
      <c r="W40" s="5">
        <v>-49.2</v>
      </c>
      <c r="X40" s="5" t="s">
        <v>87</v>
      </c>
      <c r="Y40" s="5" t="s">
        <v>87</v>
      </c>
      <c r="Z40" s="86" t="s">
        <v>50</v>
      </c>
      <c r="AA40" s="129" t="s">
        <v>552</v>
      </c>
      <c r="AB40" s="129" t="s">
        <v>563</v>
      </c>
      <c r="AC40" s="81"/>
    </row>
    <row r="41" spans="1:29" x14ac:dyDescent="0.35">
      <c r="A41" s="78" t="s">
        <v>20</v>
      </c>
      <c r="B41" s="2"/>
      <c r="C41" s="44" t="s">
        <v>1</v>
      </c>
      <c r="D41" s="11" t="s">
        <v>382</v>
      </c>
      <c r="E41" s="12" t="s">
        <v>160</v>
      </c>
      <c r="F41" s="12" t="s">
        <v>531</v>
      </c>
      <c r="G41" s="13" t="s">
        <v>115</v>
      </c>
      <c r="H41" s="13" t="s">
        <v>87</v>
      </c>
      <c r="I41" s="14" t="s">
        <v>51</v>
      </c>
      <c r="J41" s="28" t="s">
        <v>148</v>
      </c>
      <c r="K41" s="8">
        <v>434</v>
      </c>
      <c r="L41" s="8">
        <v>-125.1</v>
      </c>
      <c r="M41" s="8" t="s">
        <v>115</v>
      </c>
      <c r="N41" s="74" t="s">
        <v>47</v>
      </c>
      <c r="O41" s="28" t="s">
        <v>148</v>
      </c>
      <c r="P41" s="8">
        <v>336</v>
      </c>
      <c r="Q41" s="8">
        <v>79.3</v>
      </c>
      <c r="R41" s="8" t="s">
        <v>225</v>
      </c>
      <c r="S41" s="8" t="s">
        <v>87</v>
      </c>
      <c r="T41" s="74" t="s">
        <v>47</v>
      </c>
      <c r="U41" s="85">
        <v>1</v>
      </c>
      <c r="V41" s="5">
        <v>645</v>
      </c>
      <c r="W41" s="5">
        <v>-132.19999999999999</v>
      </c>
      <c r="X41" s="5" t="s">
        <v>220</v>
      </c>
      <c r="Y41" s="5" t="s">
        <v>87</v>
      </c>
      <c r="Z41" s="86" t="s">
        <v>47</v>
      </c>
      <c r="AA41" s="129" t="s">
        <v>552</v>
      </c>
      <c r="AB41" s="129" t="s">
        <v>552</v>
      </c>
      <c r="AC41" s="81"/>
    </row>
    <row r="42" spans="1:29" x14ac:dyDescent="0.35">
      <c r="A42" s="78" t="s">
        <v>21</v>
      </c>
      <c r="B42" s="2"/>
      <c r="C42" s="44" t="s">
        <v>1</v>
      </c>
      <c r="D42" s="11" t="s">
        <v>142</v>
      </c>
      <c r="E42" s="12" t="s">
        <v>532</v>
      </c>
      <c r="F42" s="12" t="s">
        <v>533</v>
      </c>
      <c r="G42" s="13" t="s">
        <v>87</v>
      </c>
      <c r="H42" s="13" t="s">
        <v>115</v>
      </c>
      <c r="I42" s="14" t="s">
        <v>49</v>
      </c>
      <c r="J42" s="28" t="s">
        <v>144</v>
      </c>
      <c r="K42" s="8">
        <v>477</v>
      </c>
      <c r="L42" s="8">
        <v>-28.8</v>
      </c>
      <c r="M42" s="8" t="s">
        <v>115</v>
      </c>
      <c r="N42" s="74" t="s">
        <v>49</v>
      </c>
      <c r="O42" s="28" t="s">
        <v>144</v>
      </c>
      <c r="P42" s="8">
        <v>394</v>
      </c>
      <c r="Q42" s="8">
        <v>79.7</v>
      </c>
      <c r="R42" s="8" t="s">
        <v>225</v>
      </c>
      <c r="S42" s="8" t="s">
        <v>115</v>
      </c>
      <c r="T42" s="74" t="s">
        <v>49</v>
      </c>
      <c r="U42" s="85">
        <v>6</v>
      </c>
      <c r="V42" s="5">
        <v>676</v>
      </c>
      <c r="W42" s="5">
        <v>-17.600000000000001</v>
      </c>
      <c r="X42" s="5" t="s">
        <v>220</v>
      </c>
      <c r="Y42" s="5" t="s">
        <v>87</v>
      </c>
      <c r="Z42" s="86" t="s">
        <v>49</v>
      </c>
      <c r="AA42" s="129" t="s">
        <v>552</v>
      </c>
      <c r="AB42" s="129" t="s">
        <v>552</v>
      </c>
      <c r="AC42" s="81"/>
    </row>
    <row r="43" spans="1:29" x14ac:dyDescent="0.35">
      <c r="A43" s="78" t="s">
        <v>32</v>
      </c>
      <c r="B43" s="2"/>
      <c r="C43" s="44" t="s">
        <v>1</v>
      </c>
      <c r="D43" s="11" t="s">
        <v>331</v>
      </c>
      <c r="E43" s="12" t="s">
        <v>331</v>
      </c>
      <c r="F43" s="12" t="s">
        <v>331</v>
      </c>
      <c r="G43" s="13" t="s">
        <v>331</v>
      </c>
      <c r="H43" s="13" t="s">
        <v>331</v>
      </c>
      <c r="I43" s="14" t="s">
        <v>331</v>
      </c>
      <c r="J43" s="28" t="s">
        <v>148</v>
      </c>
      <c r="K43" s="8">
        <v>352</v>
      </c>
      <c r="L43" s="8">
        <v>-111.2</v>
      </c>
      <c r="M43" s="8" t="s">
        <v>115</v>
      </c>
      <c r="N43" s="74" t="s">
        <v>49</v>
      </c>
      <c r="O43" s="28" t="s">
        <v>148</v>
      </c>
      <c r="P43" s="8">
        <v>484</v>
      </c>
      <c r="Q43" s="8">
        <v>152.4</v>
      </c>
      <c r="R43" s="8" t="s">
        <v>220</v>
      </c>
      <c r="S43" s="8" t="s">
        <v>87</v>
      </c>
      <c r="T43" s="74" t="s">
        <v>49</v>
      </c>
      <c r="U43" s="85">
        <v>1</v>
      </c>
      <c r="V43" s="5">
        <v>588</v>
      </c>
      <c r="W43" s="5">
        <v>-74.099999999999994</v>
      </c>
      <c r="X43" s="5" t="s">
        <v>225</v>
      </c>
      <c r="Y43" s="5" t="s">
        <v>115</v>
      </c>
      <c r="Z43" s="86" t="s">
        <v>49</v>
      </c>
      <c r="AA43" s="129" t="s">
        <v>552</v>
      </c>
      <c r="AB43" s="129" t="s">
        <v>552</v>
      </c>
      <c r="AC43" s="81"/>
    </row>
    <row r="44" spans="1:29" x14ac:dyDescent="0.35">
      <c r="A44" s="78" t="s">
        <v>83</v>
      </c>
      <c r="B44" s="2"/>
      <c r="C44" s="44" t="s">
        <v>1</v>
      </c>
      <c r="D44" s="11" t="s">
        <v>126</v>
      </c>
      <c r="E44" s="12" t="s">
        <v>534</v>
      </c>
      <c r="F44" s="12" t="s">
        <v>535</v>
      </c>
      <c r="G44" s="13" t="s">
        <v>115</v>
      </c>
      <c r="H44" s="13" t="s">
        <v>115</v>
      </c>
      <c r="I44" s="14" t="s">
        <v>47</v>
      </c>
      <c r="J44" s="28" t="s">
        <v>148</v>
      </c>
      <c r="K44" s="8">
        <v>515</v>
      </c>
      <c r="L44" s="8">
        <v>-41.9</v>
      </c>
      <c r="M44" s="8" t="s">
        <v>87</v>
      </c>
      <c r="N44" s="74" t="s">
        <v>47</v>
      </c>
      <c r="O44" s="28" t="s">
        <v>148</v>
      </c>
      <c r="P44" s="8">
        <v>402</v>
      </c>
      <c r="Q44" s="8">
        <v>80.099999999999994</v>
      </c>
      <c r="R44" s="8" t="s">
        <v>220</v>
      </c>
      <c r="S44" s="8" t="s">
        <v>115</v>
      </c>
      <c r="T44" s="74" t="s">
        <v>47</v>
      </c>
      <c r="U44" s="85">
        <v>1</v>
      </c>
      <c r="V44" s="5">
        <v>597</v>
      </c>
      <c r="W44" s="5">
        <v>-52.7</v>
      </c>
      <c r="X44" s="5" t="s">
        <v>225</v>
      </c>
      <c r="Y44" s="5" t="s">
        <v>115</v>
      </c>
      <c r="Z44" s="86" t="s">
        <v>47</v>
      </c>
      <c r="AA44" s="134">
        <v>1</v>
      </c>
      <c r="AB44" s="129" t="s">
        <v>564</v>
      </c>
      <c r="AC44" s="81"/>
    </row>
    <row r="45" spans="1:29" x14ac:dyDescent="0.35">
      <c r="A45" s="78" t="s">
        <v>34</v>
      </c>
      <c r="B45" s="2"/>
      <c r="C45" s="44" t="s">
        <v>1</v>
      </c>
      <c r="D45" s="11" t="s">
        <v>331</v>
      </c>
      <c r="E45" s="12" t="s">
        <v>331</v>
      </c>
      <c r="F45" s="12" t="s">
        <v>331</v>
      </c>
      <c r="G45" s="13" t="s">
        <v>331</v>
      </c>
      <c r="H45" s="13" t="s">
        <v>331</v>
      </c>
      <c r="I45" s="14" t="s">
        <v>331</v>
      </c>
      <c r="J45" s="28" t="s">
        <v>148</v>
      </c>
      <c r="K45" s="8">
        <v>347</v>
      </c>
      <c r="L45" s="8">
        <v>-165.8</v>
      </c>
      <c r="M45" s="8" t="s">
        <v>115</v>
      </c>
      <c r="N45" s="74" t="s">
        <v>50</v>
      </c>
      <c r="O45" s="28" t="s">
        <v>148</v>
      </c>
      <c r="P45" s="8">
        <v>471</v>
      </c>
      <c r="Q45" s="8">
        <v>86.2</v>
      </c>
      <c r="R45" s="8" t="s">
        <v>220</v>
      </c>
      <c r="S45" s="8" t="s">
        <v>87</v>
      </c>
      <c r="T45" s="74" t="s">
        <v>50</v>
      </c>
      <c r="U45" s="85">
        <v>1</v>
      </c>
      <c r="V45" s="5">
        <v>676</v>
      </c>
      <c r="W45" s="5">
        <v>-20.100000000000001</v>
      </c>
      <c r="X45" s="5" t="s">
        <v>225</v>
      </c>
      <c r="Y45" s="5" t="s">
        <v>87</v>
      </c>
      <c r="Z45" s="86" t="s">
        <v>50</v>
      </c>
      <c r="AA45" s="126" t="s">
        <v>558</v>
      </c>
      <c r="AB45" s="126" t="s">
        <v>565</v>
      </c>
      <c r="AC45" s="81"/>
    </row>
    <row r="46" spans="1:29" ht="15.75" customHeight="1" x14ac:dyDescent="0.35">
      <c r="A46" s="78" t="s">
        <v>88</v>
      </c>
      <c r="B46" s="2"/>
      <c r="C46" s="44" t="s">
        <v>1</v>
      </c>
      <c r="D46" s="11" t="s">
        <v>331</v>
      </c>
      <c r="E46" s="12" t="s">
        <v>331</v>
      </c>
      <c r="F46" s="12" t="s">
        <v>331</v>
      </c>
      <c r="G46" s="13" t="s">
        <v>331</v>
      </c>
      <c r="H46" s="13" t="s">
        <v>331</v>
      </c>
      <c r="I46" s="14" t="s">
        <v>331</v>
      </c>
      <c r="J46" s="28" t="s">
        <v>148</v>
      </c>
      <c r="K46" s="8">
        <v>465</v>
      </c>
      <c r="L46" s="8">
        <v>-249.8</v>
      </c>
      <c r="M46" s="8" t="s">
        <v>115</v>
      </c>
      <c r="N46" s="74" t="s">
        <v>47</v>
      </c>
      <c r="O46" s="28" t="s">
        <v>148</v>
      </c>
      <c r="P46" s="8">
        <v>418</v>
      </c>
      <c r="Q46" s="8">
        <v>107.3</v>
      </c>
      <c r="R46" s="8" t="s">
        <v>225</v>
      </c>
      <c r="S46" s="8" t="s">
        <v>115</v>
      </c>
      <c r="T46" s="74" t="s">
        <v>47</v>
      </c>
      <c r="U46" s="85">
        <v>1</v>
      </c>
      <c r="V46" s="5">
        <v>668</v>
      </c>
      <c r="W46" s="5">
        <v>-80.3</v>
      </c>
      <c r="X46" s="5" t="s">
        <v>87</v>
      </c>
      <c r="Y46" s="5" t="s">
        <v>87</v>
      </c>
      <c r="Z46" s="86" t="s">
        <v>47</v>
      </c>
      <c r="AA46" s="129" t="s">
        <v>552</v>
      </c>
      <c r="AB46" s="129" t="s">
        <v>552</v>
      </c>
      <c r="AC46" s="81"/>
    </row>
    <row r="47" spans="1:29" ht="15.75" customHeight="1" x14ac:dyDescent="0.35">
      <c r="A47" s="78" t="s">
        <v>89</v>
      </c>
      <c r="B47" s="2"/>
      <c r="C47" s="44" t="s">
        <v>1</v>
      </c>
      <c r="D47" s="11" t="s">
        <v>125</v>
      </c>
      <c r="E47" s="12" t="s">
        <v>135</v>
      </c>
      <c r="F47" s="12" t="s">
        <v>536</v>
      </c>
      <c r="G47" s="13" t="s">
        <v>115</v>
      </c>
      <c r="H47" s="13" t="s">
        <v>87</v>
      </c>
      <c r="I47" s="14" t="s">
        <v>61</v>
      </c>
      <c r="J47" s="28" t="s">
        <v>148</v>
      </c>
      <c r="K47" s="8">
        <v>400</v>
      </c>
      <c r="L47" s="8">
        <v>-144.1</v>
      </c>
      <c r="M47" s="8" t="s">
        <v>115</v>
      </c>
      <c r="N47" s="74" t="s">
        <v>49</v>
      </c>
      <c r="O47" s="28" t="s">
        <v>148</v>
      </c>
      <c r="P47" s="8">
        <v>428</v>
      </c>
      <c r="Q47" s="8">
        <v>91.4</v>
      </c>
      <c r="R47" s="8" t="s">
        <v>225</v>
      </c>
      <c r="S47" s="8" t="s">
        <v>115</v>
      </c>
      <c r="T47" s="74" t="s">
        <v>49</v>
      </c>
      <c r="U47" s="85">
        <v>1</v>
      </c>
      <c r="V47" s="5">
        <v>631</v>
      </c>
      <c r="W47" s="5">
        <v>-69.3</v>
      </c>
      <c r="X47" s="5" t="s">
        <v>225</v>
      </c>
      <c r="Y47" s="5" t="s">
        <v>87</v>
      </c>
      <c r="Z47" s="86" t="s">
        <v>49</v>
      </c>
      <c r="AA47" s="129" t="s">
        <v>552</v>
      </c>
      <c r="AB47" s="129" t="s">
        <v>552</v>
      </c>
      <c r="AC47" s="81"/>
    </row>
    <row r="48" spans="1:29" x14ac:dyDescent="0.35">
      <c r="A48" s="78" t="s">
        <v>36</v>
      </c>
      <c r="B48" s="2"/>
      <c r="C48" s="44" t="s">
        <v>1</v>
      </c>
      <c r="D48" s="11" t="s">
        <v>331</v>
      </c>
      <c r="E48" s="12" t="s">
        <v>331</v>
      </c>
      <c r="F48" s="12" t="s">
        <v>331</v>
      </c>
      <c r="G48" s="13" t="s">
        <v>331</v>
      </c>
      <c r="H48" s="13" t="s">
        <v>331</v>
      </c>
      <c r="I48" s="14" t="s">
        <v>331</v>
      </c>
      <c r="J48" s="28" t="s">
        <v>129</v>
      </c>
      <c r="K48" s="8">
        <v>494</v>
      </c>
      <c r="L48" s="8">
        <v>-90.9</v>
      </c>
      <c r="M48" s="8" t="s">
        <v>87</v>
      </c>
      <c r="N48" s="74" t="s">
        <v>49</v>
      </c>
      <c r="O48" s="28" t="s">
        <v>129</v>
      </c>
      <c r="P48" s="8">
        <v>473</v>
      </c>
      <c r="Q48" s="8">
        <v>80.599999999999994</v>
      </c>
      <c r="R48" s="8" t="s">
        <v>220</v>
      </c>
      <c r="S48" s="8" t="s">
        <v>115</v>
      </c>
      <c r="T48" s="74" t="s">
        <v>49</v>
      </c>
      <c r="U48" s="85">
        <v>2</v>
      </c>
      <c r="V48" s="5">
        <v>795</v>
      </c>
      <c r="W48" s="5">
        <v>-62.6</v>
      </c>
      <c r="X48" s="5" t="s">
        <v>87</v>
      </c>
      <c r="Y48" s="5" t="s">
        <v>87</v>
      </c>
      <c r="Z48" s="86" t="s">
        <v>49</v>
      </c>
      <c r="AA48" s="134">
        <v>0.94</v>
      </c>
      <c r="AB48" s="129" t="s">
        <v>566</v>
      </c>
      <c r="AC48" s="81"/>
    </row>
    <row r="49" spans="1:29" x14ac:dyDescent="0.35">
      <c r="A49" s="78" t="s">
        <v>24</v>
      </c>
      <c r="B49" s="2"/>
      <c r="C49" s="44" t="s">
        <v>1</v>
      </c>
      <c r="D49" s="11" t="s">
        <v>134</v>
      </c>
      <c r="E49" s="12" t="s">
        <v>499</v>
      </c>
      <c r="F49" s="12" t="s">
        <v>500</v>
      </c>
      <c r="G49" s="13" t="s">
        <v>87</v>
      </c>
      <c r="H49" s="13" t="s">
        <v>87</v>
      </c>
      <c r="I49" s="14" t="s">
        <v>47</v>
      </c>
      <c r="J49" s="28" t="s">
        <v>331</v>
      </c>
      <c r="K49" s="8" t="s">
        <v>331</v>
      </c>
      <c r="L49" s="8" t="s">
        <v>331</v>
      </c>
      <c r="M49" s="8" t="s">
        <v>331</v>
      </c>
      <c r="N49" s="74" t="s">
        <v>331</v>
      </c>
      <c r="O49" s="28" t="s">
        <v>148</v>
      </c>
      <c r="P49" s="8">
        <v>420</v>
      </c>
      <c r="Q49" s="8">
        <v>157.9</v>
      </c>
      <c r="R49" s="8" t="s">
        <v>225</v>
      </c>
      <c r="S49" s="8" t="s">
        <v>87</v>
      </c>
      <c r="T49" s="74" t="s">
        <v>47</v>
      </c>
      <c r="U49" s="85">
        <v>1</v>
      </c>
      <c r="V49" s="5">
        <v>676</v>
      </c>
      <c r="W49" s="5">
        <v>-39.700000000000003</v>
      </c>
      <c r="X49" s="5" t="s">
        <v>225</v>
      </c>
      <c r="Y49" s="5" t="s">
        <v>87</v>
      </c>
      <c r="Z49" s="86" t="s">
        <v>47</v>
      </c>
      <c r="AA49" s="129" t="s">
        <v>552</v>
      </c>
      <c r="AB49" s="129" t="s">
        <v>552</v>
      </c>
      <c r="AC49" s="81"/>
    </row>
    <row r="50" spans="1:29" x14ac:dyDescent="0.35">
      <c r="A50" s="78" t="s">
        <v>95</v>
      </c>
      <c r="B50" s="2"/>
      <c r="C50" s="44" t="s">
        <v>1</v>
      </c>
      <c r="D50" s="11" t="s">
        <v>125</v>
      </c>
      <c r="E50" s="12" t="s">
        <v>471</v>
      </c>
      <c r="F50" s="12" t="s">
        <v>472</v>
      </c>
      <c r="G50" s="13" t="s">
        <v>115</v>
      </c>
      <c r="H50" s="13" t="s">
        <v>115</v>
      </c>
      <c r="I50" s="14" t="s">
        <v>57</v>
      </c>
      <c r="J50" s="28" t="s">
        <v>125</v>
      </c>
      <c r="K50" s="8">
        <v>421</v>
      </c>
      <c r="L50" s="8">
        <v>-50.8</v>
      </c>
      <c r="M50" s="8" t="s">
        <v>87</v>
      </c>
      <c r="N50" s="74" t="s">
        <v>57</v>
      </c>
      <c r="O50" s="28" t="s">
        <v>148</v>
      </c>
      <c r="P50" s="8">
        <v>431</v>
      </c>
      <c r="Q50" s="8">
        <v>53</v>
      </c>
      <c r="R50" s="8" t="s">
        <v>220</v>
      </c>
      <c r="S50" s="8" t="s">
        <v>87</v>
      </c>
      <c r="T50" s="74" t="s">
        <v>57</v>
      </c>
      <c r="U50" s="85">
        <v>4</v>
      </c>
      <c r="V50" s="5">
        <v>613</v>
      </c>
      <c r="W50" s="5">
        <v>-82.5</v>
      </c>
      <c r="X50" s="5" t="s">
        <v>87</v>
      </c>
      <c r="Y50" s="5" t="s">
        <v>87</v>
      </c>
      <c r="Z50" s="86" t="s">
        <v>57</v>
      </c>
      <c r="AA50" s="129" t="s">
        <v>552</v>
      </c>
      <c r="AB50" s="129" t="s">
        <v>552</v>
      </c>
      <c r="AC50" s="81"/>
    </row>
    <row r="51" spans="1:29" x14ac:dyDescent="0.35">
      <c r="A51" s="78" t="s">
        <v>96</v>
      </c>
      <c r="B51" s="2"/>
      <c r="C51" s="44" t="s">
        <v>1</v>
      </c>
      <c r="D51" s="11" t="s">
        <v>147</v>
      </c>
      <c r="E51" s="12" t="s">
        <v>307</v>
      </c>
      <c r="F51" s="12" t="s">
        <v>537</v>
      </c>
      <c r="G51" s="13" t="s">
        <v>115</v>
      </c>
      <c r="H51" s="13" t="s">
        <v>115</v>
      </c>
      <c r="I51" s="14" t="s">
        <v>61</v>
      </c>
      <c r="J51" s="28" t="s">
        <v>125</v>
      </c>
      <c r="K51" s="8">
        <v>279</v>
      </c>
      <c r="L51" s="8">
        <v>-47.7</v>
      </c>
      <c r="M51" s="8" t="s">
        <v>115</v>
      </c>
      <c r="N51" s="74" t="s">
        <v>61</v>
      </c>
      <c r="O51" s="28" t="s">
        <v>148</v>
      </c>
      <c r="P51" s="8">
        <v>422</v>
      </c>
      <c r="Q51" s="8">
        <v>165.1</v>
      </c>
      <c r="R51" s="8" t="s">
        <v>220</v>
      </c>
      <c r="S51" s="8" t="s">
        <v>115</v>
      </c>
      <c r="T51" s="74" t="s">
        <v>49</v>
      </c>
      <c r="U51" s="85">
        <v>1</v>
      </c>
      <c r="V51" s="5">
        <v>543</v>
      </c>
      <c r="W51" s="5">
        <v>-55.4</v>
      </c>
      <c r="X51" s="5" t="s">
        <v>225</v>
      </c>
      <c r="Y51" s="5" t="s">
        <v>87</v>
      </c>
      <c r="Z51" s="86" t="s">
        <v>49</v>
      </c>
      <c r="AA51" s="129" t="s">
        <v>552</v>
      </c>
      <c r="AB51" s="129" t="s">
        <v>552</v>
      </c>
      <c r="AC51" s="81"/>
    </row>
    <row r="52" spans="1:29" x14ac:dyDescent="0.35">
      <c r="A52" s="78" t="s">
        <v>99</v>
      </c>
      <c r="B52" s="2"/>
      <c r="C52" s="44" t="s">
        <v>1</v>
      </c>
      <c r="D52" s="11" t="s">
        <v>125</v>
      </c>
      <c r="E52" s="12" t="s">
        <v>538</v>
      </c>
      <c r="F52" s="12" t="s">
        <v>540</v>
      </c>
      <c r="G52" s="13" t="s">
        <v>115</v>
      </c>
      <c r="H52" s="13" t="s">
        <v>87</v>
      </c>
      <c r="I52" s="14" t="s">
        <v>51</v>
      </c>
      <c r="J52" s="28" t="s">
        <v>148</v>
      </c>
      <c r="K52" s="8">
        <v>351</v>
      </c>
      <c r="L52" s="8">
        <v>-213</v>
      </c>
      <c r="M52" s="8" t="s">
        <v>115</v>
      </c>
      <c r="N52" s="74" t="s">
        <v>48</v>
      </c>
      <c r="O52" s="28" t="s">
        <v>148</v>
      </c>
      <c r="P52" s="8">
        <v>392</v>
      </c>
      <c r="Q52" s="8">
        <v>180.4</v>
      </c>
      <c r="R52" s="8" t="s">
        <v>225</v>
      </c>
      <c r="S52" s="8" t="s">
        <v>87</v>
      </c>
      <c r="T52" s="74" t="s">
        <v>48</v>
      </c>
      <c r="U52" s="85">
        <v>1</v>
      </c>
      <c r="V52" s="5">
        <v>629</v>
      </c>
      <c r="W52" s="5">
        <v>-276.39999999999998</v>
      </c>
      <c r="X52" s="5" t="s">
        <v>225</v>
      </c>
      <c r="Y52" s="5" t="s">
        <v>115</v>
      </c>
      <c r="Z52" s="86" t="s">
        <v>48</v>
      </c>
      <c r="AA52" s="129" t="s">
        <v>552</v>
      </c>
      <c r="AB52" s="129" t="s">
        <v>552</v>
      </c>
      <c r="AC52" s="81"/>
    </row>
    <row r="53" spans="1:29" x14ac:dyDescent="0.35">
      <c r="A53" s="78" t="s">
        <v>62</v>
      </c>
      <c r="B53" s="2"/>
      <c r="C53" s="44" t="s">
        <v>1</v>
      </c>
      <c r="D53" s="11" t="s">
        <v>144</v>
      </c>
      <c r="E53" s="12" t="s">
        <v>543</v>
      </c>
      <c r="F53" s="12" t="s">
        <v>539</v>
      </c>
      <c r="G53" s="13" t="s">
        <v>115</v>
      </c>
      <c r="H53" s="13" t="s">
        <v>87</v>
      </c>
      <c r="I53" s="14" t="s">
        <v>47</v>
      </c>
      <c r="J53" s="28" t="s">
        <v>331</v>
      </c>
      <c r="K53" s="8" t="s">
        <v>331</v>
      </c>
      <c r="L53" s="8" t="s">
        <v>331</v>
      </c>
      <c r="M53" s="8" t="s">
        <v>331</v>
      </c>
      <c r="N53" s="74" t="s">
        <v>331</v>
      </c>
      <c r="O53" s="28" t="s">
        <v>129</v>
      </c>
      <c r="P53" s="8">
        <v>436</v>
      </c>
      <c r="Q53" s="8">
        <v>41.8</v>
      </c>
      <c r="R53" s="8" t="s">
        <v>225</v>
      </c>
      <c r="S53" s="8" t="s">
        <v>87</v>
      </c>
      <c r="T53" s="74" t="s">
        <v>48</v>
      </c>
      <c r="U53" s="85">
        <v>2</v>
      </c>
      <c r="V53" s="5">
        <v>694</v>
      </c>
      <c r="W53" s="5">
        <v>-36.6</v>
      </c>
      <c r="X53" s="5" t="s">
        <v>87</v>
      </c>
      <c r="Y53" s="5" t="s">
        <v>87</v>
      </c>
      <c r="Z53" s="86" t="s">
        <v>48</v>
      </c>
      <c r="AA53" s="129" t="s">
        <v>552</v>
      </c>
      <c r="AB53" s="129" t="s">
        <v>552</v>
      </c>
      <c r="AC53" s="81"/>
    </row>
    <row r="54" spans="1:29" x14ac:dyDescent="0.35">
      <c r="A54" s="78" t="s">
        <v>102</v>
      </c>
      <c r="B54" s="2"/>
      <c r="C54" s="44" t="s">
        <v>1</v>
      </c>
      <c r="D54" s="11" t="s">
        <v>134</v>
      </c>
      <c r="E54" s="12" t="s">
        <v>541</v>
      </c>
      <c r="F54" s="12" t="s">
        <v>542</v>
      </c>
      <c r="G54" s="13" t="s">
        <v>87</v>
      </c>
      <c r="H54" s="13" t="s">
        <v>87</v>
      </c>
      <c r="I54" s="14" t="s">
        <v>49</v>
      </c>
      <c r="J54" s="28" t="s">
        <v>148</v>
      </c>
      <c r="K54" s="8">
        <v>373</v>
      </c>
      <c r="L54" s="8">
        <v>-108.4</v>
      </c>
      <c r="M54" s="8" t="s">
        <v>115</v>
      </c>
      <c r="N54" s="74" t="s">
        <v>50</v>
      </c>
      <c r="O54" s="28" t="s">
        <v>129</v>
      </c>
      <c r="P54" s="8">
        <v>394</v>
      </c>
      <c r="Q54" s="8">
        <v>180.3</v>
      </c>
      <c r="R54" s="8" t="s">
        <v>225</v>
      </c>
      <c r="S54" s="8" t="s">
        <v>87</v>
      </c>
      <c r="T54" s="74" t="s">
        <v>50</v>
      </c>
      <c r="U54" s="85">
        <v>2</v>
      </c>
      <c r="V54" s="5">
        <v>734</v>
      </c>
      <c r="W54" s="5">
        <v>-74</v>
      </c>
      <c r="X54" s="5" t="s">
        <v>87</v>
      </c>
      <c r="Y54" s="5" t="s">
        <v>87</v>
      </c>
      <c r="Z54" s="86" t="s">
        <v>50</v>
      </c>
      <c r="AA54" s="129" t="s">
        <v>567</v>
      </c>
      <c r="AB54" s="129" t="s">
        <v>567</v>
      </c>
      <c r="AC54" s="81"/>
    </row>
    <row r="55" spans="1:29" x14ac:dyDescent="0.35">
      <c r="A55" s="78" t="s">
        <v>64</v>
      </c>
      <c r="B55" s="2"/>
      <c r="C55" s="44" t="s">
        <v>1</v>
      </c>
      <c r="D55" s="11" t="s">
        <v>331</v>
      </c>
      <c r="E55" s="12" t="s">
        <v>331</v>
      </c>
      <c r="F55" s="12" t="s">
        <v>331</v>
      </c>
      <c r="G55" s="13" t="s">
        <v>331</v>
      </c>
      <c r="H55" s="13" t="s">
        <v>331</v>
      </c>
      <c r="I55" s="14" t="s">
        <v>331</v>
      </c>
      <c r="J55" s="28" t="s">
        <v>125</v>
      </c>
      <c r="K55" s="8">
        <v>346</v>
      </c>
      <c r="L55" s="8">
        <v>-51.8</v>
      </c>
      <c r="M55" s="8" t="s">
        <v>87</v>
      </c>
      <c r="N55" s="74" t="s">
        <v>57</v>
      </c>
      <c r="O55" s="28" t="s">
        <v>134</v>
      </c>
      <c r="P55" s="8">
        <v>397</v>
      </c>
      <c r="Q55" s="8">
        <v>-80.5</v>
      </c>
      <c r="R55" s="8" t="s">
        <v>225</v>
      </c>
      <c r="S55" s="8" t="s">
        <v>87</v>
      </c>
      <c r="T55" s="74" t="s">
        <v>57</v>
      </c>
      <c r="U55" s="85">
        <v>3</v>
      </c>
      <c r="V55" s="5">
        <v>657</v>
      </c>
      <c r="W55" s="5">
        <v>44.4</v>
      </c>
      <c r="X55" s="5" t="s">
        <v>225</v>
      </c>
      <c r="Y55" s="5" t="s">
        <v>87</v>
      </c>
      <c r="Z55" s="86" t="s">
        <v>57</v>
      </c>
      <c r="AA55" s="129" t="s">
        <v>552</v>
      </c>
      <c r="AB55" s="129" t="s">
        <v>552</v>
      </c>
      <c r="AC55" s="81"/>
    </row>
    <row r="56" spans="1:29" x14ac:dyDescent="0.35">
      <c r="A56" s="78" t="s">
        <v>105</v>
      </c>
      <c r="B56" s="2"/>
      <c r="C56" s="44" t="s">
        <v>1</v>
      </c>
      <c r="D56" s="11" t="s">
        <v>148</v>
      </c>
      <c r="E56" s="12" t="s">
        <v>128</v>
      </c>
      <c r="F56" s="12" t="s">
        <v>544</v>
      </c>
      <c r="G56" s="13" t="s">
        <v>87</v>
      </c>
      <c r="H56" s="13" t="s">
        <v>87</v>
      </c>
      <c r="I56" s="14" t="s">
        <v>48</v>
      </c>
      <c r="J56" s="28" t="s">
        <v>331</v>
      </c>
      <c r="K56" s="8" t="s">
        <v>331</v>
      </c>
      <c r="L56" s="8" t="s">
        <v>331</v>
      </c>
      <c r="M56" s="8" t="s">
        <v>331</v>
      </c>
      <c r="N56" s="74" t="s">
        <v>331</v>
      </c>
      <c r="O56" s="28" t="s">
        <v>331</v>
      </c>
      <c r="P56" s="8" t="s">
        <v>331</v>
      </c>
      <c r="Q56" s="8" t="s">
        <v>331</v>
      </c>
      <c r="R56" s="8" t="s">
        <v>331</v>
      </c>
      <c r="S56" s="8" t="s">
        <v>331</v>
      </c>
      <c r="T56" s="74" t="s">
        <v>331</v>
      </c>
      <c r="U56" s="85">
        <v>1</v>
      </c>
      <c r="V56" s="5">
        <v>613</v>
      </c>
      <c r="W56" s="5">
        <v>-66.5</v>
      </c>
      <c r="X56" s="5" t="s">
        <v>87</v>
      </c>
      <c r="Y56" s="5" t="s">
        <v>87</v>
      </c>
      <c r="Z56" s="86" t="s">
        <v>48</v>
      </c>
      <c r="AA56" s="134">
        <v>1</v>
      </c>
      <c r="AB56" s="129" t="s">
        <v>568</v>
      </c>
      <c r="AC56" s="81" t="s">
        <v>473</v>
      </c>
    </row>
    <row r="57" spans="1:29" x14ac:dyDescent="0.35">
      <c r="A57" s="78" t="s">
        <v>27</v>
      </c>
      <c r="B57" s="2"/>
      <c r="C57" s="44" t="s">
        <v>1</v>
      </c>
      <c r="D57" s="11" t="s">
        <v>148</v>
      </c>
      <c r="E57" s="12" t="s">
        <v>160</v>
      </c>
      <c r="F57" s="12" t="s">
        <v>545</v>
      </c>
      <c r="G57" s="13" t="s">
        <v>115</v>
      </c>
      <c r="H57" s="13" t="s">
        <v>87</v>
      </c>
      <c r="I57" s="14" t="s">
        <v>53</v>
      </c>
      <c r="J57" s="28" t="s">
        <v>148</v>
      </c>
      <c r="K57" s="8">
        <v>503</v>
      </c>
      <c r="L57" s="8">
        <v>-131.5</v>
      </c>
      <c r="M57" s="8" t="s">
        <v>115</v>
      </c>
      <c r="N57" s="74" t="s">
        <v>53</v>
      </c>
      <c r="O57" s="28" t="s">
        <v>148</v>
      </c>
      <c r="P57" s="8">
        <v>336</v>
      </c>
      <c r="Q57" s="8">
        <v>115.2</v>
      </c>
      <c r="R57" s="8" t="s">
        <v>225</v>
      </c>
      <c r="S57" s="8" t="s">
        <v>87</v>
      </c>
      <c r="T57" s="74" t="s">
        <v>53</v>
      </c>
      <c r="U57" s="85">
        <v>1</v>
      </c>
      <c r="V57" s="5">
        <v>586</v>
      </c>
      <c r="W57" s="5">
        <v>-170.2</v>
      </c>
      <c r="X57" s="5" t="s">
        <v>225</v>
      </c>
      <c r="Y57" s="5" t="s">
        <v>115</v>
      </c>
      <c r="Z57" s="86" t="s">
        <v>53</v>
      </c>
      <c r="AA57" s="129" t="s">
        <v>552</v>
      </c>
      <c r="AB57" s="129" t="s">
        <v>552</v>
      </c>
      <c r="AC57" s="81"/>
    </row>
    <row r="58" spans="1:29" x14ac:dyDescent="0.35">
      <c r="A58" s="78" t="s">
        <v>109</v>
      </c>
      <c r="B58" s="2"/>
      <c r="C58" s="44" t="s">
        <v>1</v>
      </c>
      <c r="D58" s="11" t="s">
        <v>134</v>
      </c>
      <c r="E58" s="12" t="s">
        <v>128</v>
      </c>
      <c r="F58" s="12" t="s">
        <v>546</v>
      </c>
      <c r="G58" s="13" t="s">
        <v>87</v>
      </c>
      <c r="H58" s="13" t="s">
        <v>87</v>
      </c>
      <c r="I58" s="14" t="s">
        <v>47</v>
      </c>
      <c r="J58" s="28" t="s">
        <v>331</v>
      </c>
      <c r="K58" s="8" t="s">
        <v>331</v>
      </c>
      <c r="L58" s="8" t="s">
        <v>331</v>
      </c>
      <c r="M58" s="8" t="s">
        <v>331</v>
      </c>
      <c r="N58" s="74" t="s">
        <v>331</v>
      </c>
      <c r="O58" s="28" t="s">
        <v>141</v>
      </c>
      <c r="P58" s="8">
        <v>242</v>
      </c>
      <c r="Q58" s="8">
        <v>27</v>
      </c>
      <c r="R58" s="8" t="s">
        <v>87</v>
      </c>
      <c r="S58" s="8" t="s">
        <v>87</v>
      </c>
      <c r="T58" s="74" t="s">
        <v>51</v>
      </c>
      <c r="U58" s="85" t="s">
        <v>331</v>
      </c>
      <c r="V58" s="5" t="s">
        <v>331</v>
      </c>
      <c r="W58" s="5" t="s">
        <v>331</v>
      </c>
      <c r="X58" s="5" t="s">
        <v>331</v>
      </c>
      <c r="Y58" s="5" t="s">
        <v>331</v>
      </c>
      <c r="Z58" s="86" t="s">
        <v>331</v>
      </c>
      <c r="AA58" s="134">
        <v>1</v>
      </c>
      <c r="AB58" s="129" t="s">
        <v>570</v>
      </c>
      <c r="AC58" s="81"/>
    </row>
    <row r="59" spans="1:29" ht="15" thickBot="1" x14ac:dyDescent="0.4">
      <c r="A59" s="151" t="s">
        <v>111</v>
      </c>
      <c r="B59" s="152"/>
      <c r="C59" s="153" t="s">
        <v>1</v>
      </c>
      <c r="D59" s="161" t="s">
        <v>331</v>
      </c>
      <c r="E59" s="162" t="s">
        <v>331</v>
      </c>
      <c r="F59" s="162" t="s">
        <v>331</v>
      </c>
      <c r="G59" s="163" t="s">
        <v>331</v>
      </c>
      <c r="H59" s="163" t="s">
        <v>331</v>
      </c>
      <c r="I59" s="164" t="s">
        <v>331</v>
      </c>
      <c r="J59" s="154" t="s">
        <v>148</v>
      </c>
      <c r="K59" s="149">
        <v>398</v>
      </c>
      <c r="L59" s="149">
        <v>-57</v>
      </c>
      <c r="M59" s="149" t="s">
        <v>115</v>
      </c>
      <c r="N59" s="155" t="s">
        <v>51</v>
      </c>
      <c r="O59" s="154" t="s">
        <v>126</v>
      </c>
      <c r="P59" s="149">
        <v>373</v>
      </c>
      <c r="Q59" s="149">
        <v>-36.299999999999997</v>
      </c>
      <c r="R59" s="149" t="s">
        <v>220</v>
      </c>
      <c r="S59" s="149" t="s">
        <v>87</v>
      </c>
      <c r="T59" s="155" t="s">
        <v>51</v>
      </c>
      <c r="U59" s="156">
        <v>5</v>
      </c>
      <c r="V59" s="150">
        <v>611</v>
      </c>
      <c r="W59" s="150">
        <v>32.799999999999997</v>
      </c>
      <c r="X59" s="150" t="s">
        <v>225</v>
      </c>
      <c r="Y59" s="150" t="s">
        <v>87</v>
      </c>
      <c r="Z59" s="157" t="s">
        <v>51</v>
      </c>
      <c r="AA59" s="158">
        <v>0.93</v>
      </c>
      <c r="AB59" s="159" t="s">
        <v>552</v>
      </c>
      <c r="AC59" s="160"/>
    </row>
    <row r="60" spans="1:29" s="5" customFormat="1" x14ac:dyDescent="0.35">
      <c r="A60" s="1" t="s">
        <v>11</v>
      </c>
      <c r="C60" s="22" t="s">
        <v>1</v>
      </c>
      <c r="D60" s="8">
        <v>5</v>
      </c>
      <c r="E60" s="8">
        <v>250</v>
      </c>
      <c r="F60" s="8">
        <v>-23.6</v>
      </c>
      <c r="G60" s="8" t="s">
        <v>115</v>
      </c>
      <c r="H60" s="8" t="s">
        <v>87</v>
      </c>
      <c r="I60" s="8" t="s">
        <v>53</v>
      </c>
      <c r="J60" s="20" t="s">
        <v>126</v>
      </c>
      <c r="K60" s="8">
        <v>383</v>
      </c>
      <c r="L60" s="8">
        <v>54.9</v>
      </c>
      <c r="M60" s="8" t="s">
        <v>115</v>
      </c>
      <c r="N60" s="8" t="s">
        <v>53</v>
      </c>
      <c r="O60" s="20" t="s">
        <v>126</v>
      </c>
      <c r="P60" s="8">
        <v>391</v>
      </c>
      <c r="Q60" s="8">
        <v>-20.100000000000001</v>
      </c>
      <c r="R60" s="8" t="s">
        <v>220</v>
      </c>
      <c r="S60" s="8" t="s">
        <v>87</v>
      </c>
      <c r="T60" s="8" t="s">
        <v>53</v>
      </c>
      <c r="U60" s="5">
        <v>5</v>
      </c>
      <c r="V60" s="5">
        <v>586</v>
      </c>
      <c r="W60" s="5">
        <v>46.7</v>
      </c>
      <c r="X60" s="5" t="s">
        <v>225</v>
      </c>
      <c r="Y60" s="5" t="s">
        <v>115</v>
      </c>
      <c r="Z60" s="5" t="s">
        <v>53</v>
      </c>
      <c r="AA60" s="133">
        <v>1</v>
      </c>
      <c r="AB60" s="128" t="s">
        <v>552</v>
      </c>
      <c r="AC60" s="5" t="s">
        <v>578</v>
      </c>
    </row>
    <row r="61" spans="1:29" s="166" customFormat="1" x14ac:dyDescent="0.35">
      <c r="A61" s="165" t="s">
        <v>85</v>
      </c>
      <c r="B61" s="166" t="s">
        <v>117</v>
      </c>
      <c r="C61" s="189" t="s">
        <v>3</v>
      </c>
      <c r="D61" s="189"/>
      <c r="E61" s="189"/>
      <c r="F61" s="189"/>
      <c r="G61" s="189"/>
      <c r="H61" s="189"/>
      <c r="I61" s="189"/>
      <c r="J61" s="190" t="s">
        <v>331</v>
      </c>
      <c r="K61" s="183" t="s">
        <v>331</v>
      </c>
      <c r="L61" s="183" t="s">
        <v>331</v>
      </c>
      <c r="M61" s="183" t="s">
        <v>331</v>
      </c>
      <c r="N61" s="183" t="s">
        <v>331</v>
      </c>
      <c r="O61" s="190" t="s">
        <v>126</v>
      </c>
      <c r="P61" s="183">
        <v>503</v>
      </c>
      <c r="Q61" s="183">
        <v>50.7</v>
      </c>
      <c r="R61" s="183" t="s">
        <v>220</v>
      </c>
      <c r="S61" s="183" t="s">
        <v>87</v>
      </c>
      <c r="T61" s="183" t="s">
        <v>48</v>
      </c>
      <c r="U61" s="167">
        <v>3</v>
      </c>
      <c r="V61" s="167">
        <v>606</v>
      </c>
      <c r="W61" s="167">
        <v>-24.6</v>
      </c>
      <c r="X61" s="167" t="s">
        <v>225</v>
      </c>
      <c r="Y61" s="167" t="s">
        <v>87</v>
      </c>
      <c r="Z61" s="167" t="s">
        <v>583</v>
      </c>
      <c r="AA61" s="167"/>
      <c r="AB61" s="167"/>
      <c r="AC61" s="167"/>
    </row>
    <row r="62" spans="1:29" s="112" customFormat="1" x14ac:dyDescent="0.35">
      <c r="A62" s="168" t="s">
        <v>90</v>
      </c>
      <c r="B62" s="169" t="s">
        <v>117</v>
      </c>
      <c r="C62" s="170" t="s">
        <v>3</v>
      </c>
      <c r="D62" s="171"/>
      <c r="E62" s="171"/>
      <c r="F62" s="171"/>
      <c r="G62" s="171"/>
      <c r="H62" s="171"/>
      <c r="I62" s="171"/>
      <c r="J62" s="172" t="s">
        <v>125</v>
      </c>
      <c r="K62" s="173">
        <v>481</v>
      </c>
      <c r="L62" s="173">
        <v>-55.8</v>
      </c>
      <c r="M62" s="173" t="s">
        <v>87</v>
      </c>
      <c r="N62" s="174" t="s">
        <v>47</v>
      </c>
      <c r="O62" s="172" t="s">
        <v>125</v>
      </c>
      <c r="P62" s="173">
        <v>478</v>
      </c>
      <c r="Q62" s="173">
        <v>55.9</v>
      </c>
      <c r="R62" s="173" t="s">
        <v>220</v>
      </c>
      <c r="S62" s="173" t="s">
        <v>115</v>
      </c>
      <c r="T62" s="174" t="s">
        <v>47</v>
      </c>
      <c r="U62" s="175">
        <v>4</v>
      </c>
      <c r="V62" s="176">
        <v>655</v>
      </c>
      <c r="W62" s="176">
        <v>-32.299999999999997</v>
      </c>
      <c r="X62" s="176" t="s">
        <v>225</v>
      </c>
      <c r="Y62" s="176" t="s">
        <v>87</v>
      </c>
      <c r="Z62" s="177" t="s">
        <v>47</v>
      </c>
      <c r="AA62" s="178"/>
      <c r="AB62" s="178"/>
      <c r="AC62" s="179"/>
    </row>
    <row r="63" spans="1:29" s="112" customFormat="1" x14ac:dyDescent="0.35">
      <c r="A63" s="146" t="s">
        <v>93</v>
      </c>
      <c r="B63" s="166" t="s">
        <v>454</v>
      </c>
      <c r="C63" s="180" t="s">
        <v>3</v>
      </c>
      <c r="D63" s="181"/>
      <c r="E63" s="181"/>
      <c r="F63" s="181"/>
      <c r="G63" s="181"/>
      <c r="H63" s="181"/>
      <c r="I63" s="181"/>
      <c r="J63" s="182" t="s">
        <v>148</v>
      </c>
      <c r="K63" s="183">
        <v>497</v>
      </c>
      <c r="L63" s="183">
        <v>-176.7</v>
      </c>
      <c r="M63" s="183" t="s">
        <v>115</v>
      </c>
      <c r="N63" s="184" t="s">
        <v>48</v>
      </c>
      <c r="O63" s="182" t="s">
        <v>148</v>
      </c>
      <c r="P63" s="183">
        <v>336</v>
      </c>
      <c r="Q63" s="183">
        <v>52.3</v>
      </c>
      <c r="R63" s="183" t="s">
        <v>225</v>
      </c>
      <c r="S63" s="183" t="s">
        <v>87</v>
      </c>
      <c r="T63" s="184" t="s">
        <v>48</v>
      </c>
      <c r="U63" s="185">
        <v>1</v>
      </c>
      <c r="V63" s="167">
        <v>547</v>
      </c>
      <c r="W63" s="167">
        <v>-35.5</v>
      </c>
      <c r="X63" s="167" t="s">
        <v>225</v>
      </c>
      <c r="Y63" s="167" t="s">
        <v>115</v>
      </c>
      <c r="Z63" s="186" t="s">
        <v>48</v>
      </c>
      <c r="AA63" s="187"/>
      <c r="AB63" s="187"/>
      <c r="AC63" s="188"/>
    </row>
    <row r="64" spans="1:29" s="112" customFormat="1" x14ac:dyDescent="0.35">
      <c r="A64" s="146" t="s">
        <v>104</v>
      </c>
      <c r="B64" s="166" t="s">
        <v>120</v>
      </c>
      <c r="C64" s="180" t="s">
        <v>3</v>
      </c>
      <c r="D64" s="181"/>
      <c r="E64" s="181"/>
      <c r="F64" s="181"/>
      <c r="G64" s="181"/>
      <c r="H64" s="181"/>
      <c r="I64" s="181"/>
      <c r="J64" s="182" t="s">
        <v>129</v>
      </c>
      <c r="K64" s="183">
        <v>489</v>
      </c>
      <c r="L64" s="183">
        <v>-48.4</v>
      </c>
      <c r="M64" s="183" t="s">
        <v>115</v>
      </c>
      <c r="N64" s="184" t="s">
        <v>49</v>
      </c>
      <c r="O64" s="182" t="s">
        <v>129</v>
      </c>
      <c r="P64" s="183">
        <v>409</v>
      </c>
      <c r="Q64" s="183">
        <v>33.700000000000003</v>
      </c>
      <c r="R64" s="183" t="s">
        <v>225</v>
      </c>
      <c r="S64" s="183" t="s">
        <v>87</v>
      </c>
      <c r="T64" s="184" t="s">
        <v>49</v>
      </c>
      <c r="U64" s="185">
        <v>2</v>
      </c>
      <c r="V64" s="167">
        <v>600</v>
      </c>
      <c r="W64" s="167">
        <v>-53.2</v>
      </c>
      <c r="X64" s="167" t="s">
        <v>225</v>
      </c>
      <c r="Y64" s="167" t="s">
        <v>115</v>
      </c>
      <c r="Z64" s="186" t="s">
        <v>49</v>
      </c>
      <c r="AA64" s="187"/>
      <c r="AB64" s="187"/>
      <c r="AC64" s="188"/>
    </row>
    <row r="65" spans="1:29" ht="15" thickBot="1" x14ac:dyDescent="0.4">
      <c r="A65" s="99" t="s">
        <v>112</v>
      </c>
      <c r="B65" s="96" t="s">
        <v>468</v>
      </c>
      <c r="C65" s="97" t="s">
        <v>3</v>
      </c>
      <c r="D65" s="123"/>
      <c r="E65" s="123"/>
      <c r="F65" s="123"/>
      <c r="G65" s="123"/>
      <c r="H65" s="123"/>
      <c r="I65" s="123"/>
      <c r="J65" s="98"/>
      <c r="K65" s="100"/>
      <c r="L65" s="100"/>
      <c r="M65" s="100"/>
      <c r="N65" s="101"/>
      <c r="O65" s="98"/>
      <c r="P65" s="100"/>
      <c r="Q65" s="100"/>
      <c r="R65" s="100"/>
      <c r="S65" s="100"/>
      <c r="T65" s="101"/>
      <c r="U65" s="102"/>
      <c r="V65" s="103"/>
      <c r="W65" s="103"/>
      <c r="X65" s="103"/>
      <c r="Y65" s="103"/>
      <c r="Z65" s="104"/>
      <c r="AA65" s="132"/>
      <c r="AB65" s="132"/>
      <c r="AC65" s="105"/>
    </row>
    <row r="66" spans="1:29" x14ac:dyDescent="0.35">
      <c r="A66" s="79" t="s">
        <v>71</v>
      </c>
      <c r="B66" s="56" t="s">
        <v>117</v>
      </c>
      <c r="C66" s="90" t="s">
        <v>1</v>
      </c>
      <c r="D66" s="122"/>
      <c r="E66" s="122"/>
      <c r="F66" s="122"/>
      <c r="G66" s="122"/>
      <c r="H66" s="122"/>
      <c r="I66" s="122"/>
      <c r="J66" s="91"/>
      <c r="K66" s="59"/>
      <c r="L66" s="59"/>
      <c r="M66" s="59"/>
      <c r="N66" s="92"/>
      <c r="O66" s="91"/>
      <c r="P66" s="59"/>
      <c r="Q66" s="59"/>
      <c r="R66" s="59"/>
      <c r="S66" s="59"/>
      <c r="T66" s="92"/>
      <c r="U66" s="93"/>
      <c r="V66" s="57"/>
      <c r="W66" s="57"/>
      <c r="X66" s="57"/>
      <c r="Y66" s="57"/>
      <c r="Z66" s="94"/>
      <c r="AA66" s="131"/>
      <c r="AB66" s="131"/>
      <c r="AC66" s="95"/>
    </row>
    <row r="67" spans="1:29" x14ac:dyDescent="0.35">
      <c r="A67" s="79" t="s">
        <v>72</v>
      </c>
      <c r="B67" s="56" t="s">
        <v>117</v>
      </c>
      <c r="C67" s="90" t="s">
        <v>1</v>
      </c>
      <c r="D67" s="122"/>
      <c r="E67" s="122"/>
      <c r="F67" s="122"/>
      <c r="G67" s="122"/>
      <c r="H67" s="122"/>
      <c r="I67" s="122"/>
      <c r="J67" s="91"/>
      <c r="K67" s="59"/>
      <c r="L67" s="59"/>
      <c r="M67" s="59"/>
      <c r="N67" s="92"/>
      <c r="O67" s="91"/>
      <c r="P67" s="59"/>
      <c r="Q67" s="59"/>
      <c r="R67" s="59"/>
      <c r="S67" s="59"/>
      <c r="T67" s="92"/>
      <c r="U67" s="93"/>
      <c r="V67" s="57"/>
      <c r="W67" s="57"/>
      <c r="X67" s="57"/>
      <c r="Y67" s="57"/>
      <c r="Z67" s="94"/>
      <c r="AA67" s="131"/>
      <c r="AB67" s="131"/>
      <c r="AC67" s="95"/>
    </row>
    <row r="68" spans="1:29" x14ac:dyDescent="0.35">
      <c r="A68" s="79" t="s">
        <v>79</v>
      </c>
      <c r="B68" s="56" t="s">
        <v>117</v>
      </c>
      <c r="C68" s="90" t="s">
        <v>1</v>
      </c>
      <c r="D68" s="122"/>
      <c r="E68" s="122"/>
      <c r="F68" s="122"/>
      <c r="G68" s="122"/>
      <c r="H68" s="122"/>
      <c r="I68" s="122"/>
      <c r="J68" s="91"/>
      <c r="K68" s="59"/>
      <c r="L68" s="59"/>
      <c r="M68" s="59"/>
      <c r="N68" s="92"/>
      <c r="O68" s="91"/>
      <c r="P68" s="59"/>
      <c r="Q68" s="59"/>
      <c r="R68" s="59"/>
      <c r="S68" s="59"/>
      <c r="T68" s="92"/>
      <c r="U68" s="93"/>
      <c r="V68" s="57"/>
      <c r="W68" s="57"/>
      <c r="X68" s="57"/>
      <c r="Y68" s="57"/>
      <c r="Z68" s="94"/>
      <c r="AA68" s="131"/>
      <c r="AB68" s="131"/>
      <c r="AC68" s="95"/>
    </row>
    <row r="69" spans="1:29" s="112" customFormat="1" x14ac:dyDescent="0.35">
      <c r="A69" s="146" t="s">
        <v>22</v>
      </c>
      <c r="B69" s="166" t="s">
        <v>118</v>
      </c>
      <c r="C69" s="180" t="s">
        <v>1</v>
      </c>
      <c r="D69" s="181"/>
      <c r="E69" s="181"/>
      <c r="F69" s="181"/>
      <c r="G69" s="181"/>
      <c r="H69" s="181"/>
      <c r="I69" s="181"/>
      <c r="J69" s="182" t="s">
        <v>331</v>
      </c>
      <c r="K69" s="183" t="s">
        <v>331</v>
      </c>
      <c r="L69" s="183" t="s">
        <v>331</v>
      </c>
      <c r="M69" s="183" t="s">
        <v>331</v>
      </c>
      <c r="N69" s="184" t="s">
        <v>331</v>
      </c>
      <c r="O69" s="182" t="s">
        <v>331</v>
      </c>
      <c r="P69" s="183" t="s">
        <v>331</v>
      </c>
      <c r="Q69" s="183" t="s">
        <v>331</v>
      </c>
      <c r="R69" s="183" t="s">
        <v>331</v>
      </c>
      <c r="S69" s="183" t="s">
        <v>331</v>
      </c>
      <c r="T69" s="184" t="s">
        <v>331</v>
      </c>
      <c r="U69" s="185" t="s">
        <v>331</v>
      </c>
      <c r="V69" s="167" t="s">
        <v>331</v>
      </c>
      <c r="W69" s="167" t="s">
        <v>331</v>
      </c>
      <c r="X69" s="167" t="s">
        <v>331</v>
      </c>
      <c r="Y69" s="167" t="s">
        <v>331</v>
      </c>
      <c r="Z69" s="186" t="s">
        <v>331</v>
      </c>
      <c r="AA69" s="187"/>
      <c r="AB69" s="187"/>
      <c r="AC69" s="188"/>
    </row>
    <row r="70" spans="1:29" s="112" customFormat="1" x14ac:dyDescent="0.35">
      <c r="A70" s="146" t="s">
        <v>23</v>
      </c>
      <c r="B70" s="166"/>
      <c r="C70" s="180" t="s">
        <v>1</v>
      </c>
      <c r="D70" s="181"/>
      <c r="E70" s="181"/>
      <c r="F70" s="181"/>
      <c r="G70" s="181"/>
      <c r="H70" s="181"/>
      <c r="I70" s="181"/>
      <c r="J70" s="182" t="s">
        <v>331</v>
      </c>
      <c r="K70" s="183" t="s">
        <v>331</v>
      </c>
      <c r="L70" s="183" t="s">
        <v>331</v>
      </c>
      <c r="M70" s="183" t="s">
        <v>331</v>
      </c>
      <c r="N70" s="184" t="s">
        <v>331</v>
      </c>
      <c r="O70" s="182" t="s">
        <v>134</v>
      </c>
      <c r="P70" s="183">
        <v>382</v>
      </c>
      <c r="Q70" s="183">
        <v>95</v>
      </c>
      <c r="R70" s="183" t="s">
        <v>225</v>
      </c>
      <c r="S70" s="183" t="s">
        <v>87</v>
      </c>
      <c r="T70" s="184" t="s">
        <v>49</v>
      </c>
      <c r="U70" s="185">
        <v>3</v>
      </c>
      <c r="V70" s="167">
        <v>579</v>
      </c>
      <c r="W70" s="167">
        <v>-97.9</v>
      </c>
      <c r="X70" s="167" t="s">
        <v>225</v>
      </c>
      <c r="Y70" s="167" t="s">
        <v>115</v>
      </c>
      <c r="Z70" s="186" t="s">
        <v>61</v>
      </c>
      <c r="AA70" s="187"/>
      <c r="AB70" s="187"/>
      <c r="AC70" s="188"/>
    </row>
    <row r="71" spans="1:29" x14ac:dyDescent="0.35">
      <c r="A71" s="79" t="s">
        <v>92</v>
      </c>
      <c r="B71" s="56" t="s">
        <v>117</v>
      </c>
      <c r="C71" s="90" t="s">
        <v>1</v>
      </c>
      <c r="D71" s="122"/>
      <c r="E71" s="122"/>
      <c r="F71" s="122"/>
      <c r="G71" s="122"/>
      <c r="H71" s="122"/>
      <c r="I71" s="122"/>
      <c r="J71" s="91"/>
      <c r="K71" s="59"/>
      <c r="L71" s="59"/>
      <c r="M71" s="59"/>
      <c r="N71" s="92"/>
      <c r="O71" s="91"/>
      <c r="P71" s="59"/>
      <c r="Q71" s="59"/>
      <c r="R71" s="59"/>
      <c r="S71" s="59"/>
      <c r="T71" s="92"/>
      <c r="U71" s="93"/>
      <c r="V71" s="57"/>
      <c r="W71" s="57"/>
      <c r="X71" s="57"/>
      <c r="Y71" s="57"/>
      <c r="Z71" s="94"/>
      <c r="AA71" s="131"/>
      <c r="AB71" s="131"/>
      <c r="AC71" s="95"/>
    </row>
    <row r="72" spans="1:29" x14ac:dyDescent="0.35">
      <c r="A72" s="79" t="s">
        <v>97</v>
      </c>
      <c r="B72" s="56" t="s">
        <v>119</v>
      </c>
      <c r="C72" s="90" t="s">
        <v>1</v>
      </c>
      <c r="D72" s="122"/>
      <c r="E72" s="122"/>
      <c r="F72" s="122"/>
      <c r="G72" s="122"/>
      <c r="H72" s="122"/>
      <c r="I72" s="122"/>
      <c r="J72" s="91"/>
      <c r="K72" s="59"/>
      <c r="L72" s="59"/>
      <c r="M72" s="59"/>
      <c r="N72" s="92"/>
      <c r="O72" s="91"/>
      <c r="P72" s="59"/>
      <c r="Q72" s="59"/>
      <c r="R72" s="59"/>
      <c r="S72" s="59"/>
      <c r="T72" s="92"/>
      <c r="U72" s="93"/>
      <c r="V72" s="57"/>
      <c r="W72" s="57"/>
      <c r="X72" s="57"/>
      <c r="Y72" s="57"/>
      <c r="Z72" s="94"/>
      <c r="AA72" s="131"/>
      <c r="AB72" s="131"/>
      <c r="AC72" s="95"/>
    </row>
    <row r="73" spans="1:29" x14ac:dyDescent="0.35">
      <c r="A73" s="79" t="s">
        <v>98</v>
      </c>
      <c r="B73" s="56" t="s">
        <v>119</v>
      </c>
      <c r="C73" s="90" t="s">
        <v>1</v>
      </c>
      <c r="D73" s="122"/>
      <c r="E73" s="122"/>
      <c r="F73" s="122"/>
      <c r="G73" s="122"/>
      <c r="H73" s="122"/>
      <c r="I73" s="122"/>
      <c r="J73" s="91"/>
      <c r="K73" s="59"/>
      <c r="L73" s="59"/>
      <c r="M73" s="59"/>
      <c r="N73" s="92"/>
      <c r="O73" s="91"/>
      <c r="P73" s="59"/>
      <c r="Q73" s="59"/>
      <c r="R73" s="59"/>
      <c r="S73" s="59"/>
      <c r="T73" s="92"/>
      <c r="U73" s="93"/>
      <c r="V73" s="57"/>
      <c r="W73" s="57"/>
      <c r="X73" s="57"/>
      <c r="Y73" s="57"/>
      <c r="Z73" s="94"/>
      <c r="AA73" s="131"/>
      <c r="AB73" s="131"/>
      <c r="AC73" s="95"/>
    </row>
  </sheetData>
  <mergeCells count="9">
    <mergeCell ref="AC1:AC2"/>
    <mergeCell ref="O1:T1"/>
    <mergeCell ref="U1:Z1"/>
    <mergeCell ref="A1:A2"/>
    <mergeCell ref="B1:B2"/>
    <mergeCell ref="C1:C2"/>
    <mergeCell ref="J1:N1"/>
    <mergeCell ref="D1:I1"/>
    <mergeCell ref="AA1:AB1"/>
  </mergeCells>
  <conditionalFormatting sqref="A1:B1 A2 A3:B1048576">
    <cfRule type="containsText" dxfId="5" priority="9" operator="containsText" text="ok">
      <formula>NOT(ISERROR(SEARCH("ok",A1)))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8950-EBE0-490D-AFE7-856C95B17052}">
  <dimension ref="A1:AJ63"/>
  <sheetViews>
    <sheetView zoomScale="92" zoomScaleNormal="145" workbookViewId="0">
      <selection activeCell="A52" sqref="A52:XFD52"/>
    </sheetView>
  </sheetViews>
  <sheetFormatPr baseColWidth="10" defaultColWidth="8.7265625" defaultRowHeight="14.5" x14ac:dyDescent="0.35"/>
  <cols>
    <col min="2" max="2" width="5.26953125" bestFit="1" customWidth="1"/>
    <col min="3" max="3" width="6.81640625" customWidth="1"/>
    <col min="4" max="4" width="8.1796875" bestFit="1" customWidth="1"/>
    <col min="5" max="5" width="10.1796875" bestFit="1" customWidth="1"/>
    <col min="6" max="6" width="10.1796875" customWidth="1"/>
    <col min="7" max="7" width="10" bestFit="1" customWidth="1"/>
    <col min="8" max="8" width="9.7265625" bestFit="1" customWidth="1"/>
    <col min="10" max="10" width="7.7265625" bestFit="1" customWidth="1"/>
    <col min="11" max="11" width="10.1796875" bestFit="1" customWidth="1"/>
    <col min="12" max="12" width="10.81640625" bestFit="1" customWidth="1"/>
    <col min="13" max="13" width="6.1796875" bestFit="1" customWidth="1"/>
    <col min="14" max="14" width="9.7265625" bestFit="1" customWidth="1"/>
    <col min="17" max="17" width="10.1796875" bestFit="1" customWidth="1"/>
    <col min="18" max="18" width="10.81640625" bestFit="1" customWidth="1"/>
    <col min="19" max="19" width="6.1796875" bestFit="1" customWidth="1"/>
    <col min="20" max="20" width="9.7265625" bestFit="1" customWidth="1"/>
    <col min="23" max="23" width="10.1796875" bestFit="1" customWidth="1"/>
    <col min="24" max="24" width="5.453125" bestFit="1" customWidth="1"/>
    <col min="25" max="25" width="6" bestFit="1" customWidth="1"/>
    <col min="26" max="26" width="10.54296875" customWidth="1"/>
    <col min="28" max="28" width="4.1796875" bestFit="1" customWidth="1"/>
    <col min="29" max="29" width="7.7265625" bestFit="1" customWidth="1"/>
    <col min="30" max="30" width="10.1796875" bestFit="1" customWidth="1"/>
    <col min="31" max="31" width="10.81640625" bestFit="1" customWidth="1"/>
    <col min="32" max="32" width="10.54296875" bestFit="1" customWidth="1"/>
    <col min="33" max="33" width="11.453125" bestFit="1" customWidth="1"/>
    <col min="34" max="34" width="9.7265625" bestFit="1" customWidth="1"/>
    <col min="35" max="35" width="12.54296875" bestFit="1" customWidth="1"/>
    <col min="36" max="36" width="85.1796875" bestFit="1" customWidth="1"/>
  </cols>
  <sheetData>
    <row r="1" spans="1:36" ht="15" thickBot="1" x14ac:dyDescent="0.4">
      <c r="A1" s="232" t="s">
        <v>0</v>
      </c>
      <c r="B1" s="232" t="s">
        <v>9</v>
      </c>
      <c r="C1" s="229" t="s">
        <v>122</v>
      </c>
      <c r="D1" s="230"/>
      <c r="E1" s="230"/>
      <c r="F1" s="230"/>
      <c r="G1" s="230"/>
      <c r="H1" s="231"/>
      <c r="I1" s="229" t="s">
        <v>123</v>
      </c>
      <c r="J1" s="230"/>
      <c r="K1" s="230"/>
      <c r="L1" s="230"/>
      <c r="M1" s="230"/>
      <c r="N1" s="231"/>
      <c r="O1" s="229" t="s">
        <v>124</v>
      </c>
      <c r="P1" s="230"/>
      <c r="Q1" s="230"/>
      <c r="R1" s="230"/>
      <c r="S1" s="230"/>
      <c r="T1" s="231"/>
      <c r="U1" s="229" t="s">
        <v>226</v>
      </c>
      <c r="V1" s="230"/>
      <c r="W1" s="230"/>
      <c r="X1" s="230"/>
      <c r="Y1" s="230"/>
      <c r="Z1" s="230"/>
      <c r="AA1" s="231"/>
      <c r="AB1" s="229" t="s">
        <v>312</v>
      </c>
      <c r="AC1" s="230"/>
      <c r="AD1" s="230"/>
      <c r="AE1" s="230"/>
      <c r="AF1" s="230"/>
      <c r="AG1" s="230"/>
      <c r="AH1" s="231"/>
      <c r="AI1" s="124" t="s">
        <v>549</v>
      </c>
      <c r="AJ1" s="215" t="s">
        <v>116</v>
      </c>
    </row>
    <row r="2" spans="1:36" ht="15" thickBot="1" x14ac:dyDescent="0.4">
      <c r="A2" s="233"/>
      <c r="B2" s="233"/>
      <c r="C2" s="32" t="s">
        <v>4</v>
      </c>
      <c r="D2" s="33" t="s">
        <v>42</v>
      </c>
      <c r="E2" s="33" t="s">
        <v>43</v>
      </c>
      <c r="F2" s="34" t="s">
        <v>477</v>
      </c>
      <c r="G2" s="34" t="s">
        <v>476</v>
      </c>
      <c r="H2" s="35" t="s">
        <v>46</v>
      </c>
      <c r="I2" s="32" t="s">
        <v>4</v>
      </c>
      <c r="J2" s="33" t="s">
        <v>42</v>
      </c>
      <c r="K2" s="33" t="s">
        <v>43</v>
      </c>
      <c r="L2" s="34" t="s">
        <v>217</v>
      </c>
      <c r="M2" s="34" t="s">
        <v>332</v>
      </c>
      <c r="N2" s="35" t="s">
        <v>46</v>
      </c>
      <c r="O2" s="32" t="s">
        <v>4</v>
      </c>
      <c r="P2" s="33" t="s">
        <v>42</v>
      </c>
      <c r="Q2" s="33" t="s">
        <v>43</v>
      </c>
      <c r="R2" s="34" t="s">
        <v>217</v>
      </c>
      <c r="S2" s="34" t="s">
        <v>332</v>
      </c>
      <c r="T2" s="35" t="s">
        <v>46</v>
      </c>
      <c r="U2" s="32" t="s">
        <v>4</v>
      </c>
      <c r="V2" s="33" t="s">
        <v>42</v>
      </c>
      <c r="W2" s="33" t="s">
        <v>43</v>
      </c>
      <c r="X2" s="34" t="s">
        <v>265</v>
      </c>
      <c r="Y2" s="34" t="s">
        <v>257</v>
      </c>
      <c r="Z2" s="34" t="s">
        <v>245</v>
      </c>
      <c r="AA2" s="35" t="s">
        <v>46</v>
      </c>
      <c r="AB2" s="32" t="s">
        <v>4</v>
      </c>
      <c r="AC2" s="33" t="s">
        <v>42</v>
      </c>
      <c r="AD2" s="33" t="s">
        <v>43</v>
      </c>
      <c r="AE2" s="34" t="s">
        <v>217</v>
      </c>
      <c r="AF2" s="34" t="s">
        <v>114</v>
      </c>
      <c r="AG2" s="34" t="s">
        <v>245</v>
      </c>
      <c r="AH2" s="35" t="s">
        <v>46</v>
      </c>
      <c r="AI2" s="135" t="s">
        <v>551</v>
      </c>
      <c r="AJ2" s="216"/>
    </row>
    <row r="3" spans="1:36" x14ac:dyDescent="0.35">
      <c r="A3" s="19" t="s">
        <v>8</v>
      </c>
      <c r="B3" s="10" t="s">
        <v>2</v>
      </c>
      <c r="C3" s="15" t="s">
        <v>142</v>
      </c>
      <c r="D3" s="16" t="s">
        <v>323</v>
      </c>
      <c r="E3" s="16" t="s">
        <v>480</v>
      </c>
      <c r="F3" s="17" t="s">
        <v>87</v>
      </c>
      <c r="G3" s="17" t="s">
        <v>478</v>
      </c>
      <c r="H3" s="18" t="s">
        <v>49</v>
      </c>
      <c r="I3" s="15" t="s">
        <v>125</v>
      </c>
      <c r="J3" s="16" t="s">
        <v>243</v>
      </c>
      <c r="K3" s="16" t="s">
        <v>244</v>
      </c>
      <c r="L3" s="17" t="s">
        <v>225</v>
      </c>
      <c r="M3" s="17" t="s">
        <v>87</v>
      </c>
      <c r="N3" s="18" t="s">
        <v>58</v>
      </c>
      <c r="O3" s="15" t="s">
        <v>147</v>
      </c>
      <c r="P3" s="16" t="s">
        <v>250</v>
      </c>
      <c r="Q3" s="16" t="s">
        <v>251</v>
      </c>
      <c r="R3" s="17" t="s">
        <v>225</v>
      </c>
      <c r="S3" s="17" t="s">
        <v>87</v>
      </c>
      <c r="T3" s="18" t="s">
        <v>127</v>
      </c>
      <c r="U3" s="15" t="s">
        <v>331</v>
      </c>
      <c r="V3" s="16" t="s">
        <v>331</v>
      </c>
      <c r="W3" s="16" t="s">
        <v>331</v>
      </c>
      <c r="X3" s="16" t="s">
        <v>331</v>
      </c>
      <c r="Y3" s="16" t="s">
        <v>331</v>
      </c>
      <c r="Z3" s="17" t="s">
        <v>331</v>
      </c>
      <c r="AA3" s="18" t="s">
        <v>331</v>
      </c>
      <c r="AB3" s="15" t="s">
        <v>125</v>
      </c>
      <c r="AC3" s="16" t="s">
        <v>248</v>
      </c>
      <c r="AD3" s="16" t="s">
        <v>249</v>
      </c>
      <c r="AE3" s="16" t="s">
        <v>225</v>
      </c>
      <c r="AF3" s="16" t="s">
        <v>115</v>
      </c>
      <c r="AG3" s="17" t="s">
        <v>247</v>
      </c>
      <c r="AH3" s="18" t="s">
        <v>58</v>
      </c>
      <c r="AI3" s="126" t="s">
        <v>552</v>
      </c>
      <c r="AJ3" s="42" t="s">
        <v>253</v>
      </c>
    </row>
    <row r="4" spans="1:36" x14ac:dyDescent="0.35">
      <c r="A4" s="19" t="s">
        <v>69</v>
      </c>
      <c r="B4" s="10" t="s">
        <v>2</v>
      </c>
      <c r="C4" s="15" t="s">
        <v>331</v>
      </c>
      <c r="D4" s="16" t="s">
        <v>331</v>
      </c>
      <c r="E4" s="16" t="s">
        <v>331</v>
      </c>
      <c r="F4" s="17" t="s">
        <v>331</v>
      </c>
      <c r="G4" s="17" t="s">
        <v>331</v>
      </c>
      <c r="H4" s="18" t="s">
        <v>331</v>
      </c>
      <c r="I4" s="11" t="s">
        <v>68</v>
      </c>
      <c r="J4" s="12" t="s">
        <v>68</v>
      </c>
      <c r="K4" s="12" t="s">
        <v>68</v>
      </c>
      <c r="L4" s="12" t="s">
        <v>68</v>
      </c>
      <c r="M4" s="12" t="s">
        <v>68</v>
      </c>
      <c r="N4" s="14" t="s">
        <v>68</v>
      </c>
      <c r="O4" s="11" t="s">
        <v>125</v>
      </c>
      <c r="P4" s="12" t="s">
        <v>254</v>
      </c>
      <c r="Q4" s="12" t="s">
        <v>164</v>
      </c>
      <c r="R4" s="17" t="s">
        <v>87</v>
      </c>
      <c r="S4" s="17" t="s">
        <v>87</v>
      </c>
      <c r="T4" s="14" t="s">
        <v>52</v>
      </c>
      <c r="U4" s="11" t="s">
        <v>125</v>
      </c>
      <c r="V4" s="12" t="s">
        <v>294</v>
      </c>
      <c r="W4" s="12" t="s">
        <v>295</v>
      </c>
      <c r="X4" s="12" t="s">
        <v>87</v>
      </c>
      <c r="Y4" s="12" t="s">
        <v>87</v>
      </c>
      <c r="Z4" s="13" t="s">
        <v>246</v>
      </c>
      <c r="AA4" s="14" t="s">
        <v>52</v>
      </c>
      <c r="AB4" s="11" t="s">
        <v>125</v>
      </c>
      <c r="AC4" s="12" t="s">
        <v>255</v>
      </c>
      <c r="AD4" s="12" t="s">
        <v>256</v>
      </c>
      <c r="AE4" s="12" t="s">
        <v>220</v>
      </c>
      <c r="AF4" s="12" t="s">
        <v>87</v>
      </c>
      <c r="AG4" s="13" t="s">
        <v>246</v>
      </c>
      <c r="AH4" s="14" t="s">
        <v>52</v>
      </c>
      <c r="AI4" s="126" t="s">
        <v>555</v>
      </c>
      <c r="AJ4" s="42" t="s">
        <v>314</v>
      </c>
    </row>
    <row r="5" spans="1:36" ht="18" customHeight="1" x14ac:dyDescent="0.35">
      <c r="A5" s="19" t="s">
        <v>29</v>
      </c>
      <c r="B5" s="10" t="s">
        <v>2</v>
      </c>
      <c r="C5" s="15" t="s">
        <v>331</v>
      </c>
      <c r="D5" s="16" t="s">
        <v>331</v>
      </c>
      <c r="E5" s="16" t="s">
        <v>331</v>
      </c>
      <c r="F5" s="17" t="s">
        <v>331</v>
      </c>
      <c r="G5" s="17" t="s">
        <v>331</v>
      </c>
      <c r="H5" s="18" t="s">
        <v>331</v>
      </c>
      <c r="I5" s="15" t="s">
        <v>126</v>
      </c>
      <c r="J5" s="16" t="s">
        <v>132</v>
      </c>
      <c r="K5" s="16" t="s">
        <v>133</v>
      </c>
      <c r="L5" s="17" t="s">
        <v>225</v>
      </c>
      <c r="M5" s="17" t="s">
        <v>87</v>
      </c>
      <c r="N5" s="18" t="s">
        <v>56</v>
      </c>
      <c r="O5" s="15" t="s">
        <v>129</v>
      </c>
      <c r="P5" s="16" t="s">
        <v>130</v>
      </c>
      <c r="Q5" s="16" t="s">
        <v>131</v>
      </c>
      <c r="R5" s="17" t="s">
        <v>220</v>
      </c>
      <c r="S5" s="17" t="s">
        <v>87</v>
      </c>
      <c r="T5" s="14" t="s">
        <v>59</v>
      </c>
      <c r="U5" s="15" t="s">
        <v>129</v>
      </c>
      <c r="V5" s="16" t="s">
        <v>296</v>
      </c>
      <c r="W5" s="16" t="s">
        <v>297</v>
      </c>
      <c r="X5" s="16" t="s">
        <v>87</v>
      </c>
      <c r="Y5" s="16" t="s">
        <v>87</v>
      </c>
      <c r="Z5" s="13" t="s">
        <v>252</v>
      </c>
      <c r="AA5" s="14" t="s">
        <v>59</v>
      </c>
      <c r="AB5" s="15" t="s">
        <v>129</v>
      </c>
      <c r="AC5" s="16" t="s">
        <v>218</v>
      </c>
      <c r="AD5" s="16" t="s">
        <v>219</v>
      </c>
      <c r="AE5" s="16" t="s">
        <v>220</v>
      </c>
      <c r="AF5" s="16" t="s">
        <v>115</v>
      </c>
      <c r="AG5" s="13" t="s">
        <v>252</v>
      </c>
      <c r="AH5" s="14" t="s">
        <v>59</v>
      </c>
      <c r="AI5" s="126" t="s">
        <v>556</v>
      </c>
      <c r="AJ5" s="42" t="s">
        <v>313</v>
      </c>
    </row>
    <row r="6" spans="1:36" ht="18" customHeight="1" x14ac:dyDescent="0.35">
      <c r="A6" s="19" t="s">
        <v>12</v>
      </c>
      <c r="B6" s="10" t="s">
        <v>2</v>
      </c>
      <c r="C6" s="15" t="s">
        <v>134</v>
      </c>
      <c r="D6" s="16" t="s">
        <v>482</v>
      </c>
      <c r="E6" s="16" t="s">
        <v>483</v>
      </c>
      <c r="F6" s="17" t="s">
        <v>115</v>
      </c>
      <c r="G6" s="17" t="s">
        <v>478</v>
      </c>
      <c r="H6" s="18" t="s">
        <v>48</v>
      </c>
      <c r="I6" s="15" t="s">
        <v>125</v>
      </c>
      <c r="J6" s="16" t="s">
        <v>137</v>
      </c>
      <c r="K6" s="16" t="s">
        <v>138</v>
      </c>
      <c r="L6" s="17" t="s">
        <v>87</v>
      </c>
      <c r="M6" s="17" t="s">
        <v>87</v>
      </c>
      <c r="N6" s="18" t="s">
        <v>52</v>
      </c>
      <c r="O6" s="11" t="s">
        <v>148</v>
      </c>
      <c r="P6" s="12" t="s">
        <v>221</v>
      </c>
      <c r="Q6" s="41" t="s">
        <v>222</v>
      </c>
      <c r="R6" s="17" t="s">
        <v>87</v>
      </c>
      <c r="S6" s="17" t="s">
        <v>87</v>
      </c>
      <c r="T6" s="14" t="s">
        <v>59</v>
      </c>
      <c r="U6" s="11" t="s">
        <v>125</v>
      </c>
      <c r="V6" s="12" t="s">
        <v>298</v>
      </c>
      <c r="W6" s="41" t="s">
        <v>299</v>
      </c>
      <c r="X6" s="41" t="s">
        <v>220</v>
      </c>
      <c r="Y6" s="12" t="s">
        <v>87</v>
      </c>
      <c r="Z6" s="13" t="s">
        <v>247</v>
      </c>
      <c r="AA6" s="14" t="s">
        <v>52</v>
      </c>
      <c r="AB6" s="11" t="s">
        <v>148</v>
      </c>
      <c r="AC6" s="12" t="s">
        <v>223</v>
      </c>
      <c r="AD6" s="41" t="s">
        <v>224</v>
      </c>
      <c r="AE6" s="41" t="s">
        <v>225</v>
      </c>
      <c r="AF6" s="12" t="s">
        <v>115</v>
      </c>
      <c r="AG6" s="13" t="s">
        <v>246</v>
      </c>
      <c r="AH6" s="14" t="s">
        <v>59</v>
      </c>
      <c r="AI6" s="136" t="s">
        <v>559</v>
      </c>
      <c r="AJ6" s="42"/>
    </row>
    <row r="7" spans="1:36" ht="18" customHeight="1" x14ac:dyDescent="0.35">
      <c r="A7" s="19" t="s">
        <v>14</v>
      </c>
      <c r="B7" s="10" t="s">
        <v>2</v>
      </c>
      <c r="C7" s="15" t="s">
        <v>129</v>
      </c>
      <c r="D7" s="16" t="s">
        <v>479</v>
      </c>
      <c r="E7" s="16" t="s">
        <v>486</v>
      </c>
      <c r="F7" s="17" t="s">
        <v>487</v>
      </c>
      <c r="G7" s="17" t="s">
        <v>478</v>
      </c>
      <c r="H7" s="18" t="s">
        <v>50</v>
      </c>
      <c r="I7" s="11" t="s">
        <v>68</v>
      </c>
      <c r="J7" s="12" t="s">
        <v>68</v>
      </c>
      <c r="K7" s="12" t="s">
        <v>68</v>
      </c>
      <c r="L7" s="12" t="s">
        <v>68</v>
      </c>
      <c r="M7" s="13" t="s">
        <v>68</v>
      </c>
      <c r="N7" s="14" t="s">
        <v>68</v>
      </c>
      <c r="O7" s="15" t="s">
        <v>134</v>
      </c>
      <c r="P7" s="16" t="s">
        <v>139</v>
      </c>
      <c r="Q7" s="16" t="s">
        <v>140</v>
      </c>
      <c r="R7" s="17" t="s">
        <v>225</v>
      </c>
      <c r="S7" s="17" t="s">
        <v>87</v>
      </c>
      <c r="T7" s="18" t="s">
        <v>58</v>
      </c>
      <c r="U7" s="11" t="s">
        <v>134</v>
      </c>
      <c r="V7" s="12" t="s">
        <v>301</v>
      </c>
      <c r="W7" s="12" t="s">
        <v>302</v>
      </c>
      <c r="X7" s="12" t="s">
        <v>87</v>
      </c>
      <c r="Y7" s="12" t="s">
        <v>87</v>
      </c>
      <c r="Z7" s="13" t="s">
        <v>246</v>
      </c>
      <c r="AA7" s="18" t="s">
        <v>58</v>
      </c>
      <c r="AB7" s="11" t="s">
        <v>134</v>
      </c>
      <c r="AC7" s="12" t="s">
        <v>227</v>
      </c>
      <c r="AD7" s="12" t="s">
        <v>228</v>
      </c>
      <c r="AE7" s="12" t="s">
        <v>225</v>
      </c>
      <c r="AF7" s="12" t="s">
        <v>115</v>
      </c>
      <c r="AG7" s="13" t="s">
        <v>246</v>
      </c>
      <c r="AH7" s="18" t="s">
        <v>58</v>
      </c>
      <c r="AI7" s="126" t="s">
        <v>560</v>
      </c>
      <c r="AJ7" s="42" t="s">
        <v>300</v>
      </c>
    </row>
    <row r="8" spans="1:36" ht="18" customHeight="1" x14ac:dyDescent="0.35">
      <c r="A8" s="19" t="s">
        <v>39</v>
      </c>
      <c r="B8" s="10" t="s">
        <v>2</v>
      </c>
      <c r="C8" s="15" t="s">
        <v>148</v>
      </c>
      <c r="D8" s="16" t="s">
        <v>508</v>
      </c>
      <c r="E8" s="16" t="s">
        <v>509</v>
      </c>
      <c r="F8" s="17" t="s">
        <v>115</v>
      </c>
      <c r="G8" s="17" t="s">
        <v>87</v>
      </c>
      <c r="H8" s="18" t="s">
        <v>51</v>
      </c>
      <c r="I8" s="15" t="s">
        <v>68</v>
      </c>
      <c r="J8" s="16" t="s">
        <v>68</v>
      </c>
      <c r="K8" s="16" t="s">
        <v>68</v>
      </c>
      <c r="L8" s="17" t="s">
        <v>68</v>
      </c>
      <c r="M8" s="17" t="s">
        <v>68</v>
      </c>
      <c r="N8" s="18" t="s">
        <v>68</v>
      </c>
      <c r="O8" s="15" t="s">
        <v>129</v>
      </c>
      <c r="P8" s="16" t="s">
        <v>305</v>
      </c>
      <c r="Q8" s="16" t="s">
        <v>152</v>
      </c>
      <c r="R8" s="17" t="s">
        <v>87</v>
      </c>
      <c r="S8" s="17" t="s">
        <v>87</v>
      </c>
      <c r="T8" s="18" t="s">
        <v>52</v>
      </c>
      <c r="U8" s="15" t="s">
        <v>129</v>
      </c>
      <c r="V8" s="16" t="s">
        <v>303</v>
      </c>
      <c r="W8" s="16" t="s">
        <v>304</v>
      </c>
      <c r="X8" s="16" t="s">
        <v>220</v>
      </c>
      <c r="Y8" s="16" t="s">
        <v>87</v>
      </c>
      <c r="Z8" s="13" t="s">
        <v>246</v>
      </c>
      <c r="AA8" s="18" t="s">
        <v>52</v>
      </c>
      <c r="AB8" s="15" t="s">
        <v>129</v>
      </c>
      <c r="AC8" s="16" t="s">
        <v>229</v>
      </c>
      <c r="AD8" s="16" t="s">
        <v>230</v>
      </c>
      <c r="AE8" s="16" t="s">
        <v>225</v>
      </c>
      <c r="AF8" s="16" t="s">
        <v>87</v>
      </c>
      <c r="AG8" s="17" t="s">
        <v>252</v>
      </c>
      <c r="AH8" s="18" t="s">
        <v>59</v>
      </c>
      <c r="AI8" s="129" t="s">
        <v>552</v>
      </c>
      <c r="AJ8" s="42" t="s">
        <v>306</v>
      </c>
    </row>
    <row r="9" spans="1:36" x14ac:dyDescent="0.35">
      <c r="A9" s="19" t="s">
        <v>40</v>
      </c>
      <c r="B9" s="10" t="s">
        <v>2</v>
      </c>
      <c r="C9" s="15" t="s">
        <v>144</v>
      </c>
      <c r="D9" s="16" t="s">
        <v>352</v>
      </c>
      <c r="E9" s="16" t="s">
        <v>510</v>
      </c>
      <c r="F9" s="17" t="s">
        <v>87</v>
      </c>
      <c r="G9" s="17" t="s">
        <v>87</v>
      </c>
      <c r="H9" s="18" t="s">
        <v>61</v>
      </c>
      <c r="I9" s="15" t="s">
        <v>126</v>
      </c>
      <c r="J9" s="16" t="s">
        <v>307</v>
      </c>
      <c r="K9" s="16" t="s">
        <v>308</v>
      </c>
      <c r="L9" s="17" t="s">
        <v>220</v>
      </c>
      <c r="M9" s="17" t="s">
        <v>87</v>
      </c>
      <c r="N9" s="18" t="s">
        <v>54</v>
      </c>
      <c r="O9" s="15" t="s">
        <v>129</v>
      </c>
      <c r="P9" s="16" t="s">
        <v>158</v>
      </c>
      <c r="Q9" s="16" t="s">
        <v>159</v>
      </c>
      <c r="R9" s="17" t="s">
        <v>220</v>
      </c>
      <c r="S9" s="17" t="s">
        <v>87</v>
      </c>
      <c r="T9" s="18" t="s">
        <v>60</v>
      </c>
      <c r="U9" s="11" t="s">
        <v>129</v>
      </c>
      <c r="V9" s="12" t="s">
        <v>231</v>
      </c>
      <c r="W9" s="12" t="s">
        <v>232</v>
      </c>
      <c r="X9" s="12" t="s">
        <v>225</v>
      </c>
      <c r="Y9" s="12" t="s">
        <v>87</v>
      </c>
      <c r="Z9" s="17" t="s">
        <v>246</v>
      </c>
      <c r="AA9" s="18" t="s">
        <v>60</v>
      </c>
      <c r="AB9" s="11" t="s">
        <v>129</v>
      </c>
      <c r="AC9" s="12" t="s">
        <v>231</v>
      </c>
      <c r="AD9" s="12" t="s">
        <v>232</v>
      </c>
      <c r="AE9" s="12" t="s">
        <v>225</v>
      </c>
      <c r="AF9" s="12" t="s">
        <v>87</v>
      </c>
      <c r="AG9" s="17" t="s">
        <v>246</v>
      </c>
      <c r="AH9" s="18" t="s">
        <v>60</v>
      </c>
      <c r="AI9" s="129" t="s">
        <v>552</v>
      </c>
      <c r="AJ9" s="42" t="s">
        <v>233</v>
      </c>
    </row>
    <row r="10" spans="1:36" x14ac:dyDescent="0.35">
      <c r="A10" s="19" t="s">
        <v>25</v>
      </c>
      <c r="B10" s="10" t="s">
        <v>2</v>
      </c>
      <c r="C10" s="15" t="s">
        <v>125</v>
      </c>
      <c r="D10" s="16" t="s">
        <v>505</v>
      </c>
      <c r="E10" s="16" t="s">
        <v>506</v>
      </c>
      <c r="F10" s="17" t="s">
        <v>87</v>
      </c>
      <c r="G10" s="17" t="s">
        <v>478</v>
      </c>
      <c r="H10" s="18" t="s">
        <v>50</v>
      </c>
      <c r="I10" s="15" t="s">
        <v>68</v>
      </c>
      <c r="J10" s="16" t="s">
        <v>68</v>
      </c>
      <c r="K10" s="16" t="s">
        <v>68</v>
      </c>
      <c r="L10" s="17" t="s">
        <v>68</v>
      </c>
      <c r="M10" s="17" t="s">
        <v>68</v>
      </c>
      <c r="N10" s="18" t="s">
        <v>68</v>
      </c>
      <c r="O10" s="109" t="s">
        <v>68</v>
      </c>
      <c r="P10" s="41" t="s">
        <v>68</v>
      </c>
      <c r="Q10" s="41" t="s">
        <v>68</v>
      </c>
      <c r="R10" s="41" t="s">
        <v>68</v>
      </c>
      <c r="S10" s="41" t="s">
        <v>68</v>
      </c>
      <c r="T10" s="111" t="s">
        <v>68</v>
      </c>
      <c r="U10" s="109" t="s">
        <v>68</v>
      </c>
      <c r="V10" s="41" t="s">
        <v>68</v>
      </c>
      <c r="W10" s="41" t="s">
        <v>68</v>
      </c>
      <c r="X10" s="41" t="s">
        <v>68</v>
      </c>
      <c r="Y10" s="41" t="s">
        <v>68</v>
      </c>
      <c r="Z10" s="41" t="s">
        <v>68</v>
      </c>
      <c r="AA10" s="111" t="s">
        <v>68</v>
      </c>
      <c r="AB10" s="109" t="s">
        <v>68</v>
      </c>
      <c r="AC10" s="41" t="s">
        <v>68</v>
      </c>
      <c r="AD10" s="41" t="s">
        <v>68</v>
      </c>
      <c r="AE10" s="41" t="s">
        <v>68</v>
      </c>
      <c r="AF10" s="41" t="s">
        <v>68</v>
      </c>
      <c r="AG10" s="41" t="s">
        <v>68</v>
      </c>
      <c r="AH10" s="111" t="s">
        <v>68</v>
      </c>
      <c r="AI10" s="129" t="s">
        <v>552</v>
      </c>
      <c r="AJ10" s="18" t="s">
        <v>507</v>
      </c>
    </row>
    <row r="11" spans="1:36" x14ac:dyDescent="0.35">
      <c r="A11" s="19" t="s">
        <v>63</v>
      </c>
      <c r="B11" s="10" t="s">
        <v>2</v>
      </c>
      <c r="C11" s="11" t="s">
        <v>68</v>
      </c>
      <c r="D11" s="12" t="s">
        <v>68</v>
      </c>
      <c r="E11" s="12" t="s">
        <v>68</v>
      </c>
      <c r="F11" s="12" t="s">
        <v>68</v>
      </c>
      <c r="G11" s="12" t="s">
        <v>68</v>
      </c>
      <c r="H11" s="14" t="s">
        <v>68</v>
      </c>
      <c r="I11" s="15" t="s">
        <v>68</v>
      </c>
      <c r="J11" s="16" t="s">
        <v>68</v>
      </c>
      <c r="K11" s="16" t="s">
        <v>68</v>
      </c>
      <c r="L11" s="17" t="s">
        <v>68</v>
      </c>
      <c r="M11" s="17" t="s">
        <v>68</v>
      </c>
      <c r="N11" s="18" t="s">
        <v>68</v>
      </c>
      <c r="O11" s="15" t="s">
        <v>148</v>
      </c>
      <c r="P11" s="16" t="s">
        <v>160</v>
      </c>
      <c r="Q11" s="16" t="s">
        <v>161</v>
      </c>
      <c r="R11" s="17" t="s">
        <v>220</v>
      </c>
      <c r="S11" s="17" t="s">
        <v>87</v>
      </c>
      <c r="T11" s="18" t="s">
        <v>55</v>
      </c>
      <c r="U11" s="15" t="s">
        <v>148</v>
      </c>
      <c r="V11" s="16" t="s">
        <v>309</v>
      </c>
      <c r="W11" s="16" t="s">
        <v>310</v>
      </c>
      <c r="X11" s="16" t="s">
        <v>220</v>
      </c>
      <c r="Y11" s="16" t="s">
        <v>87</v>
      </c>
      <c r="Z11" s="17" t="s">
        <v>246</v>
      </c>
      <c r="AA11" s="18" t="s">
        <v>55</v>
      </c>
      <c r="AB11" s="15" t="s">
        <v>148</v>
      </c>
      <c r="AC11" s="16" t="s">
        <v>234</v>
      </c>
      <c r="AD11" s="16" t="s">
        <v>235</v>
      </c>
      <c r="AE11" s="16" t="s">
        <v>225</v>
      </c>
      <c r="AF11" s="16" t="s">
        <v>115</v>
      </c>
      <c r="AG11" s="17" t="s">
        <v>246</v>
      </c>
      <c r="AH11" s="18" t="s">
        <v>55</v>
      </c>
      <c r="AI11" s="43" t="s">
        <v>552</v>
      </c>
      <c r="AJ11" s="42" t="s">
        <v>236</v>
      </c>
    </row>
    <row r="12" spans="1:36" x14ac:dyDescent="0.35">
      <c r="A12" s="19" t="s">
        <v>65</v>
      </c>
      <c r="B12" s="10" t="s">
        <v>2</v>
      </c>
      <c r="C12" s="15" t="s">
        <v>129</v>
      </c>
      <c r="D12" s="16" t="s">
        <v>511</v>
      </c>
      <c r="E12" s="16" t="s">
        <v>512</v>
      </c>
      <c r="F12" s="17" t="s">
        <v>87</v>
      </c>
      <c r="G12" s="17" t="s">
        <v>87</v>
      </c>
      <c r="H12" s="18" t="s">
        <v>49</v>
      </c>
      <c r="I12" s="15" t="s">
        <v>68</v>
      </c>
      <c r="J12" s="16" t="s">
        <v>68</v>
      </c>
      <c r="K12" s="16" t="s">
        <v>68</v>
      </c>
      <c r="L12" s="17" t="s">
        <v>68</v>
      </c>
      <c r="M12" s="17" t="s">
        <v>68</v>
      </c>
      <c r="N12" s="18" t="s">
        <v>68</v>
      </c>
      <c r="O12" s="15" t="s">
        <v>125</v>
      </c>
      <c r="P12" s="16" t="s">
        <v>135</v>
      </c>
      <c r="Q12" s="16" t="s">
        <v>162</v>
      </c>
      <c r="R12" s="17" t="s">
        <v>220</v>
      </c>
      <c r="S12" s="17" t="s">
        <v>87</v>
      </c>
      <c r="T12" s="18" t="s">
        <v>58</v>
      </c>
      <c r="U12" s="15" t="s">
        <v>331</v>
      </c>
      <c r="V12" s="16" t="s">
        <v>331</v>
      </c>
      <c r="W12" s="16" t="s">
        <v>331</v>
      </c>
      <c r="X12" s="16" t="s">
        <v>331</v>
      </c>
      <c r="Y12" s="16" t="s">
        <v>331</v>
      </c>
      <c r="Z12" s="17" t="s">
        <v>331</v>
      </c>
      <c r="AA12" s="18" t="s">
        <v>331</v>
      </c>
      <c r="AB12" s="15" t="s">
        <v>125</v>
      </c>
      <c r="AC12" s="16" t="s">
        <v>237</v>
      </c>
      <c r="AD12" s="16" t="s">
        <v>238</v>
      </c>
      <c r="AE12" s="16" t="s">
        <v>225</v>
      </c>
      <c r="AF12" s="16" t="s">
        <v>115</v>
      </c>
      <c r="AG12" s="17" t="s">
        <v>246</v>
      </c>
      <c r="AH12" s="18" t="s">
        <v>58</v>
      </c>
      <c r="AI12" s="43" t="s">
        <v>552</v>
      </c>
      <c r="AJ12" s="42" t="s">
        <v>239</v>
      </c>
    </row>
    <row r="13" spans="1:36" x14ac:dyDescent="0.35">
      <c r="A13" s="19" t="s">
        <v>26</v>
      </c>
      <c r="B13" s="10" t="s">
        <v>2</v>
      </c>
      <c r="C13" s="15" t="s">
        <v>125</v>
      </c>
      <c r="D13" s="16" t="s">
        <v>513</v>
      </c>
      <c r="E13" s="16" t="s">
        <v>514</v>
      </c>
      <c r="F13" s="17" t="s">
        <v>115</v>
      </c>
      <c r="G13" s="17" t="s">
        <v>478</v>
      </c>
      <c r="H13" s="18" t="s">
        <v>48</v>
      </c>
      <c r="I13" s="15" t="s">
        <v>134</v>
      </c>
      <c r="J13" s="16" t="s">
        <v>165</v>
      </c>
      <c r="K13" s="16" t="s">
        <v>166</v>
      </c>
      <c r="L13" s="17" t="s">
        <v>225</v>
      </c>
      <c r="M13" s="17" t="s">
        <v>87</v>
      </c>
      <c r="N13" s="18" t="s">
        <v>56</v>
      </c>
      <c r="O13" s="15" t="s">
        <v>126</v>
      </c>
      <c r="P13" s="16" t="s">
        <v>240</v>
      </c>
      <c r="Q13" s="16" t="s">
        <v>131</v>
      </c>
      <c r="R13" s="17" t="s">
        <v>220</v>
      </c>
      <c r="S13" s="17" t="s">
        <v>87</v>
      </c>
      <c r="T13" s="18" t="s">
        <v>59</v>
      </c>
      <c r="U13" s="15" t="s">
        <v>147</v>
      </c>
      <c r="V13" s="16" t="s">
        <v>205</v>
      </c>
      <c r="W13" s="16" t="s">
        <v>311</v>
      </c>
      <c r="X13" s="16" t="s">
        <v>87</v>
      </c>
      <c r="Y13" s="16" t="s">
        <v>87</v>
      </c>
      <c r="Z13" s="17" t="s">
        <v>246</v>
      </c>
      <c r="AA13" s="18" t="s">
        <v>56</v>
      </c>
      <c r="AB13" s="15" t="s">
        <v>134</v>
      </c>
      <c r="AC13" s="16" t="s">
        <v>241</v>
      </c>
      <c r="AD13" s="16" t="s">
        <v>242</v>
      </c>
      <c r="AE13" s="16" t="s">
        <v>225</v>
      </c>
      <c r="AF13" s="16" t="s">
        <v>115</v>
      </c>
      <c r="AG13" s="17" t="s">
        <v>247</v>
      </c>
      <c r="AH13" s="18" t="s">
        <v>56</v>
      </c>
      <c r="AI13" s="138" t="s">
        <v>552</v>
      </c>
      <c r="AJ13" s="42"/>
    </row>
    <row r="14" spans="1:36" x14ac:dyDescent="0.35">
      <c r="A14" s="19" t="s">
        <v>351</v>
      </c>
      <c r="B14" s="10" t="s">
        <v>3</v>
      </c>
      <c r="C14" s="11" t="s">
        <v>141</v>
      </c>
      <c r="D14" s="12" t="s">
        <v>479</v>
      </c>
      <c r="E14" s="12" t="s">
        <v>517</v>
      </c>
      <c r="F14" s="13" t="s">
        <v>87</v>
      </c>
      <c r="G14" s="13" t="s">
        <v>87</v>
      </c>
      <c r="H14" s="14" t="s">
        <v>47</v>
      </c>
      <c r="I14" s="11" t="s">
        <v>142</v>
      </c>
      <c r="J14" s="12" t="s">
        <v>352</v>
      </c>
      <c r="K14" s="12" t="s">
        <v>353</v>
      </c>
      <c r="L14" s="13" t="s">
        <v>225</v>
      </c>
      <c r="M14" s="13" t="s">
        <v>115</v>
      </c>
      <c r="N14" s="14" t="s">
        <v>52</v>
      </c>
      <c r="O14" s="11" t="s">
        <v>144</v>
      </c>
      <c r="P14" s="12" t="s">
        <v>354</v>
      </c>
      <c r="Q14" s="12" t="s">
        <v>355</v>
      </c>
      <c r="R14" s="13" t="s">
        <v>87</v>
      </c>
      <c r="S14" s="13" t="s">
        <v>87</v>
      </c>
      <c r="T14" s="14" t="s">
        <v>59</v>
      </c>
      <c r="U14" s="11" t="s">
        <v>144</v>
      </c>
      <c r="V14" s="12" t="s">
        <v>205</v>
      </c>
      <c r="W14" s="12" t="s">
        <v>356</v>
      </c>
      <c r="X14" s="12" t="s">
        <v>220</v>
      </c>
      <c r="Y14" s="12" t="s">
        <v>87</v>
      </c>
      <c r="Z14" s="13" t="s">
        <v>246</v>
      </c>
      <c r="AA14" s="14" t="s">
        <v>59</v>
      </c>
      <c r="AB14" s="11" t="s">
        <v>144</v>
      </c>
      <c r="AC14" s="12" t="s">
        <v>319</v>
      </c>
      <c r="AD14" s="12" t="s">
        <v>357</v>
      </c>
      <c r="AE14" s="12" t="s">
        <v>225</v>
      </c>
      <c r="AF14" s="12" t="s">
        <v>115</v>
      </c>
      <c r="AG14" s="13" t="s">
        <v>246</v>
      </c>
      <c r="AH14" s="14" t="s">
        <v>59</v>
      </c>
      <c r="AI14" s="138" t="s">
        <v>552</v>
      </c>
      <c r="AJ14" s="54"/>
    </row>
    <row r="15" spans="1:36" x14ac:dyDescent="0.35">
      <c r="A15" s="19" t="s">
        <v>13</v>
      </c>
      <c r="B15" s="10" t="s">
        <v>3</v>
      </c>
      <c r="C15" s="11" t="s">
        <v>147</v>
      </c>
      <c r="D15" s="12" t="s">
        <v>484</v>
      </c>
      <c r="E15" s="12" t="s">
        <v>485</v>
      </c>
      <c r="F15" s="13" t="s">
        <v>115</v>
      </c>
      <c r="G15" s="13" t="s">
        <v>478</v>
      </c>
      <c r="H15" s="14" t="s">
        <v>50</v>
      </c>
      <c r="I15" s="15" t="s">
        <v>68</v>
      </c>
      <c r="J15" s="16" t="s">
        <v>68</v>
      </c>
      <c r="K15" s="16" t="s">
        <v>68</v>
      </c>
      <c r="L15" s="17" t="s">
        <v>68</v>
      </c>
      <c r="M15" s="17" t="s">
        <v>68</v>
      </c>
      <c r="N15" s="18" t="s">
        <v>68</v>
      </c>
      <c r="O15" s="11" t="s">
        <v>148</v>
      </c>
      <c r="P15" s="12" t="s">
        <v>358</v>
      </c>
      <c r="Q15" s="12" t="s">
        <v>359</v>
      </c>
      <c r="R15" s="13" t="s">
        <v>225</v>
      </c>
      <c r="S15" s="13" t="s">
        <v>87</v>
      </c>
      <c r="T15" s="14" t="s">
        <v>55</v>
      </c>
      <c r="U15" s="11" t="s">
        <v>148</v>
      </c>
      <c r="V15" s="12" t="s">
        <v>360</v>
      </c>
      <c r="W15" s="12" t="s">
        <v>361</v>
      </c>
      <c r="X15" s="12" t="s">
        <v>220</v>
      </c>
      <c r="Y15" s="12" t="s">
        <v>87</v>
      </c>
      <c r="Z15" s="13" t="s">
        <v>246</v>
      </c>
      <c r="AA15" s="14" t="s">
        <v>55</v>
      </c>
      <c r="AB15" s="11" t="s">
        <v>148</v>
      </c>
      <c r="AC15" s="12" t="s">
        <v>362</v>
      </c>
      <c r="AD15" s="12" t="s">
        <v>363</v>
      </c>
      <c r="AE15" s="12" t="s">
        <v>225</v>
      </c>
      <c r="AF15" s="12" t="s">
        <v>115</v>
      </c>
      <c r="AG15" s="13" t="s">
        <v>246</v>
      </c>
      <c r="AH15" s="14" t="s">
        <v>55</v>
      </c>
      <c r="AI15" s="136" t="s">
        <v>559</v>
      </c>
      <c r="AJ15" s="54"/>
    </row>
    <row r="16" spans="1:36" x14ac:dyDescent="0.35">
      <c r="A16" s="19" t="s">
        <v>73</v>
      </c>
      <c r="B16" s="10" t="s">
        <v>3</v>
      </c>
      <c r="C16" s="11" t="s">
        <v>331</v>
      </c>
      <c r="D16" s="12" t="s">
        <v>331</v>
      </c>
      <c r="E16" s="12" t="s">
        <v>331</v>
      </c>
      <c r="F16" s="13" t="s">
        <v>331</v>
      </c>
      <c r="G16" s="13" t="s">
        <v>331</v>
      </c>
      <c r="H16" s="14" t="s">
        <v>331</v>
      </c>
      <c r="I16" s="11" t="s">
        <v>68</v>
      </c>
      <c r="J16" s="12" t="s">
        <v>68</v>
      </c>
      <c r="K16" s="12" t="s">
        <v>68</v>
      </c>
      <c r="L16" s="13" t="s">
        <v>68</v>
      </c>
      <c r="M16" s="13" t="s">
        <v>68</v>
      </c>
      <c r="N16" s="14" t="s">
        <v>68</v>
      </c>
      <c r="O16" s="11" t="s">
        <v>170</v>
      </c>
      <c r="P16" s="12" t="s">
        <v>364</v>
      </c>
      <c r="Q16" s="12" t="s">
        <v>365</v>
      </c>
      <c r="R16" s="13" t="s">
        <v>225</v>
      </c>
      <c r="S16" s="13" t="s">
        <v>87</v>
      </c>
      <c r="T16" s="14" t="s">
        <v>56</v>
      </c>
      <c r="U16" s="11" t="s">
        <v>134</v>
      </c>
      <c r="V16" s="12" t="s">
        <v>301</v>
      </c>
      <c r="W16" s="12" t="s">
        <v>366</v>
      </c>
      <c r="X16" s="12" t="s">
        <v>220</v>
      </c>
      <c r="Y16" s="12" t="s">
        <v>87</v>
      </c>
      <c r="Z16" s="13" t="s">
        <v>246</v>
      </c>
      <c r="AA16" s="14" t="s">
        <v>52</v>
      </c>
      <c r="AB16" s="11" t="s">
        <v>134</v>
      </c>
      <c r="AC16" s="12" t="s">
        <v>367</v>
      </c>
      <c r="AD16" s="12" t="s">
        <v>368</v>
      </c>
      <c r="AE16" s="12" t="s">
        <v>225</v>
      </c>
      <c r="AF16" s="12" t="s">
        <v>87</v>
      </c>
      <c r="AG16" s="13" t="s">
        <v>246</v>
      </c>
      <c r="AH16" s="14" t="s">
        <v>52</v>
      </c>
      <c r="AI16" s="136" t="s">
        <v>552</v>
      </c>
      <c r="AJ16" s="54"/>
    </row>
    <row r="17" spans="1:36" x14ac:dyDescent="0.35">
      <c r="A17" s="19" t="s">
        <v>17</v>
      </c>
      <c r="B17" s="10" t="s">
        <v>3</v>
      </c>
      <c r="C17" s="11" t="s">
        <v>134</v>
      </c>
      <c r="D17" s="12" t="s">
        <v>354</v>
      </c>
      <c r="E17" s="12" t="s">
        <v>518</v>
      </c>
      <c r="F17" s="13" t="s">
        <v>87</v>
      </c>
      <c r="G17" s="13" t="s">
        <v>87</v>
      </c>
      <c r="H17" s="14" t="s">
        <v>53</v>
      </c>
      <c r="I17" s="11" t="s">
        <v>148</v>
      </c>
      <c r="J17" s="12" t="s">
        <v>352</v>
      </c>
      <c r="K17" s="12" t="s">
        <v>369</v>
      </c>
      <c r="L17" s="13" t="s">
        <v>225</v>
      </c>
      <c r="M17" s="13" t="s">
        <v>87</v>
      </c>
      <c r="N17" s="14" t="s">
        <v>54</v>
      </c>
      <c r="O17" s="11" t="s">
        <v>170</v>
      </c>
      <c r="P17" s="12" t="s">
        <v>150</v>
      </c>
      <c r="Q17" s="12" t="s">
        <v>370</v>
      </c>
      <c r="R17" s="13" t="s">
        <v>220</v>
      </c>
      <c r="S17" s="13" t="s">
        <v>87</v>
      </c>
      <c r="T17" s="14" t="s">
        <v>60</v>
      </c>
      <c r="U17" s="11" t="s">
        <v>147</v>
      </c>
      <c r="V17" s="12" t="s">
        <v>371</v>
      </c>
      <c r="W17" s="12" t="s">
        <v>372</v>
      </c>
      <c r="X17" s="12" t="s">
        <v>225</v>
      </c>
      <c r="Y17" s="12" t="s">
        <v>115</v>
      </c>
      <c r="Z17" s="13" t="s">
        <v>246</v>
      </c>
      <c r="AA17" s="14" t="s">
        <v>58</v>
      </c>
      <c r="AB17" s="11" t="s">
        <v>331</v>
      </c>
      <c r="AC17" s="12" t="s">
        <v>331</v>
      </c>
      <c r="AD17" s="12" t="s">
        <v>331</v>
      </c>
      <c r="AE17" s="12" t="s">
        <v>331</v>
      </c>
      <c r="AF17" s="12" t="s">
        <v>331</v>
      </c>
      <c r="AG17" s="13" t="s">
        <v>331</v>
      </c>
      <c r="AH17" s="14" t="s">
        <v>331</v>
      </c>
      <c r="AI17" s="129" t="s">
        <v>561</v>
      </c>
      <c r="AJ17" s="54"/>
    </row>
    <row r="18" spans="1:36" x14ac:dyDescent="0.35">
      <c r="A18" s="19" t="s">
        <v>82</v>
      </c>
      <c r="B18" s="10" t="s">
        <v>3</v>
      </c>
      <c r="C18" s="11" t="s">
        <v>521</v>
      </c>
      <c r="D18" s="12" t="s">
        <v>383</v>
      </c>
      <c r="E18" s="12" t="s">
        <v>522</v>
      </c>
      <c r="F18" s="13" t="s">
        <v>115</v>
      </c>
      <c r="G18" s="13" t="s">
        <v>87</v>
      </c>
      <c r="H18" s="14" t="s">
        <v>50</v>
      </c>
      <c r="I18" s="11" t="s">
        <v>68</v>
      </c>
      <c r="J18" s="12" t="s">
        <v>68</v>
      </c>
      <c r="K18" s="12" t="s">
        <v>68</v>
      </c>
      <c r="L18" s="13" t="s">
        <v>68</v>
      </c>
      <c r="M18" s="13" t="s">
        <v>68</v>
      </c>
      <c r="N18" s="14" t="s">
        <v>68</v>
      </c>
      <c r="O18" s="11" t="s">
        <v>170</v>
      </c>
      <c r="P18" s="12" t="s">
        <v>373</v>
      </c>
      <c r="Q18" s="12" t="s">
        <v>374</v>
      </c>
      <c r="R18" s="13" t="s">
        <v>220</v>
      </c>
      <c r="S18" s="13" t="s">
        <v>87</v>
      </c>
      <c r="T18" s="14" t="s">
        <v>60</v>
      </c>
      <c r="U18" s="11" t="s">
        <v>170</v>
      </c>
      <c r="V18" s="12" t="s">
        <v>375</v>
      </c>
      <c r="W18" s="12" t="s">
        <v>376</v>
      </c>
      <c r="X18" s="12" t="s">
        <v>220</v>
      </c>
      <c r="Y18" s="12" t="s">
        <v>87</v>
      </c>
      <c r="Z18" s="13" t="s">
        <v>246</v>
      </c>
      <c r="AA18" s="14" t="s">
        <v>60</v>
      </c>
      <c r="AB18" s="11" t="s">
        <v>170</v>
      </c>
      <c r="AC18" s="12" t="s">
        <v>377</v>
      </c>
      <c r="AD18" s="12" t="s">
        <v>378</v>
      </c>
      <c r="AE18" s="12" t="s">
        <v>225</v>
      </c>
      <c r="AF18" s="12" t="s">
        <v>87</v>
      </c>
      <c r="AG18" s="13" t="s">
        <v>246</v>
      </c>
      <c r="AH18" s="14" t="s">
        <v>60</v>
      </c>
      <c r="AI18" s="129" t="s">
        <v>552</v>
      </c>
      <c r="AJ18" s="54"/>
    </row>
    <row r="19" spans="1:36" x14ac:dyDescent="0.35">
      <c r="A19" s="19" t="s">
        <v>84</v>
      </c>
      <c r="B19" s="10" t="s">
        <v>3</v>
      </c>
      <c r="C19" s="11" t="s">
        <v>331</v>
      </c>
      <c r="D19" s="12" t="s">
        <v>331</v>
      </c>
      <c r="E19" s="12" t="s">
        <v>331</v>
      </c>
      <c r="F19" s="13" t="s">
        <v>331</v>
      </c>
      <c r="G19" s="13" t="s">
        <v>331</v>
      </c>
      <c r="H19" s="14" t="s">
        <v>331</v>
      </c>
      <c r="I19" s="11" t="s">
        <v>68</v>
      </c>
      <c r="J19" s="12" t="s">
        <v>68</v>
      </c>
      <c r="K19" s="12" t="s">
        <v>68</v>
      </c>
      <c r="L19" s="13" t="s">
        <v>68</v>
      </c>
      <c r="M19" s="13" t="s">
        <v>68</v>
      </c>
      <c r="N19" s="14" t="s">
        <v>68</v>
      </c>
      <c r="O19" s="11" t="s">
        <v>170</v>
      </c>
      <c r="P19" s="12" t="s">
        <v>358</v>
      </c>
      <c r="Q19" s="12" t="s">
        <v>379</v>
      </c>
      <c r="R19" s="13" t="s">
        <v>225</v>
      </c>
      <c r="S19" s="13" t="s">
        <v>87</v>
      </c>
      <c r="T19" s="14" t="s">
        <v>380</v>
      </c>
      <c r="U19" s="11" t="s">
        <v>170</v>
      </c>
      <c r="V19" s="12" t="s">
        <v>294</v>
      </c>
      <c r="W19" s="12" t="s">
        <v>381</v>
      </c>
      <c r="X19" s="12" t="s">
        <v>220</v>
      </c>
      <c r="Y19" s="12" t="s">
        <v>87</v>
      </c>
      <c r="Z19" s="13" t="s">
        <v>246</v>
      </c>
      <c r="AA19" s="14" t="s">
        <v>380</v>
      </c>
      <c r="AB19" s="11" t="s">
        <v>170</v>
      </c>
      <c r="AC19" s="12" t="s">
        <v>231</v>
      </c>
      <c r="AD19" s="12" t="s">
        <v>463</v>
      </c>
      <c r="AE19" s="12" t="s">
        <v>225</v>
      </c>
      <c r="AF19" s="12" t="s">
        <v>115</v>
      </c>
      <c r="AG19" s="13" t="s">
        <v>246</v>
      </c>
      <c r="AH19" s="14" t="s">
        <v>380</v>
      </c>
      <c r="AI19" s="129" t="s">
        <v>564</v>
      </c>
      <c r="AJ19" s="54"/>
    </row>
    <row r="20" spans="1:36" x14ac:dyDescent="0.35">
      <c r="A20" s="60" t="s">
        <v>101</v>
      </c>
      <c r="B20" s="10" t="s">
        <v>3</v>
      </c>
      <c r="C20" s="11" t="s">
        <v>331</v>
      </c>
      <c r="D20" s="12" t="s">
        <v>331</v>
      </c>
      <c r="E20" s="12" t="s">
        <v>331</v>
      </c>
      <c r="F20" s="13" t="s">
        <v>331</v>
      </c>
      <c r="G20" s="13" t="s">
        <v>331</v>
      </c>
      <c r="H20" s="14" t="s">
        <v>331</v>
      </c>
      <c r="I20" s="11" t="s">
        <v>68</v>
      </c>
      <c r="J20" s="12" t="s">
        <v>68</v>
      </c>
      <c r="K20" s="12" t="s">
        <v>68</v>
      </c>
      <c r="L20" s="13" t="s">
        <v>68</v>
      </c>
      <c r="M20" s="13" t="s">
        <v>68</v>
      </c>
      <c r="N20" s="14" t="s">
        <v>68</v>
      </c>
      <c r="O20" s="109" t="s">
        <v>68</v>
      </c>
      <c r="P20" s="41" t="s">
        <v>68</v>
      </c>
      <c r="Q20" s="41" t="s">
        <v>68</v>
      </c>
      <c r="R20" s="41" t="s">
        <v>68</v>
      </c>
      <c r="S20" s="41" t="s">
        <v>68</v>
      </c>
      <c r="T20" s="111" t="s">
        <v>68</v>
      </c>
      <c r="U20" s="109" t="s">
        <v>68</v>
      </c>
      <c r="V20" s="41" t="s">
        <v>68</v>
      </c>
      <c r="W20" s="41" t="s">
        <v>68</v>
      </c>
      <c r="X20" s="41" t="s">
        <v>68</v>
      </c>
      <c r="Y20" s="41" t="s">
        <v>68</v>
      </c>
      <c r="Z20" s="41" t="s">
        <v>68</v>
      </c>
      <c r="AA20" s="111" t="s">
        <v>68</v>
      </c>
      <c r="AB20" s="109" t="s">
        <v>68</v>
      </c>
      <c r="AC20" s="41" t="s">
        <v>68</v>
      </c>
      <c r="AD20" s="41" t="s">
        <v>68</v>
      </c>
      <c r="AE20" s="41" t="s">
        <v>68</v>
      </c>
      <c r="AF20" s="41" t="s">
        <v>68</v>
      </c>
      <c r="AG20" s="41" t="s">
        <v>68</v>
      </c>
      <c r="AH20" s="111" t="s">
        <v>68</v>
      </c>
      <c r="AI20" s="129" t="s">
        <v>567</v>
      </c>
      <c r="AJ20" s="54"/>
    </row>
    <row r="21" spans="1:36" x14ac:dyDescent="0.35">
      <c r="A21" s="60" t="s">
        <v>106</v>
      </c>
      <c r="B21" s="10" t="s">
        <v>3</v>
      </c>
      <c r="C21" s="11" t="s">
        <v>142</v>
      </c>
      <c r="D21" s="12" t="s">
        <v>488</v>
      </c>
      <c r="E21" s="12" t="s">
        <v>523</v>
      </c>
      <c r="F21" s="13" t="s">
        <v>115</v>
      </c>
      <c r="G21" s="13" t="s">
        <v>87</v>
      </c>
      <c r="H21" s="14" t="s">
        <v>53</v>
      </c>
      <c r="I21" s="11" t="s">
        <v>68</v>
      </c>
      <c r="J21" s="12" t="s">
        <v>68</v>
      </c>
      <c r="K21" s="12" t="s">
        <v>68</v>
      </c>
      <c r="L21" s="13" t="s">
        <v>68</v>
      </c>
      <c r="M21" s="13" t="s">
        <v>68</v>
      </c>
      <c r="N21" s="14" t="s">
        <v>68</v>
      </c>
      <c r="O21" s="109" t="s">
        <v>68</v>
      </c>
      <c r="P21" s="41" t="s">
        <v>68</v>
      </c>
      <c r="Q21" s="41" t="s">
        <v>68</v>
      </c>
      <c r="R21" s="41" t="s">
        <v>68</v>
      </c>
      <c r="S21" s="41" t="s">
        <v>68</v>
      </c>
      <c r="T21" s="111" t="s">
        <v>68</v>
      </c>
      <c r="U21" s="109" t="s">
        <v>68</v>
      </c>
      <c r="V21" s="41" t="s">
        <v>68</v>
      </c>
      <c r="W21" s="41" t="s">
        <v>68</v>
      </c>
      <c r="X21" s="41" t="s">
        <v>68</v>
      </c>
      <c r="Y21" s="41" t="s">
        <v>68</v>
      </c>
      <c r="Z21" s="41" t="s">
        <v>68</v>
      </c>
      <c r="AA21" s="111" t="s">
        <v>68</v>
      </c>
      <c r="AB21" s="109" t="s">
        <v>68</v>
      </c>
      <c r="AC21" s="41" t="s">
        <v>68</v>
      </c>
      <c r="AD21" s="41" t="s">
        <v>68</v>
      </c>
      <c r="AE21" s="41" t="s">
        <v>68</v>
      </c>
      <c r="AF21" s="41" t="s">
        <v>68</v>
      </c>
      <c r="AG21" s="41" t="s">
        <v>68</v>
      </c>
      <c r="AH21" s="111" t="s">
        <v>68</v>
      </c>
      <c r="AI21" s="129" t="s">
        <v>568</v>
      </c>
      <c r="AJ21" s="54"/>
    </row>
    <row r="22" spans="1:36" x14ac:dyDescent="0.35">
      <c r="A22" s="60" t="s">
        <v>107</v>
      </c>
      <c r="B22" s="10" t="s">
        <v>3</v>
      </c>
      <c r="C22" s="11" t="s">
        <v>331</v>
      </c>
      <c r="D22" s="12" t="s">
        <v>331</v>
      </c>
      <c r="E22" s="12" t="s">
        <v>331</v>
      </c>
      <c r="F22" s="13" t="s">
        <v>331</v>
      </c>
      <c r="G22" s="13" t="s">
        <v>331</v>
      </c>
      <c r="H22" s="14" t="s">
        <v>331</v>
      </c>
      <c r="I22" s="11" t="s">
        <v>68</v>
      </c>
      <c r="J22" s="12" t="s">
        <v>68</v>
      </c>
      <c r="K22" s="12" t="s">
        <v>68</v>
      </c>
      <c r="L22" s="13" t="s">
        <v>68</v>
      </c>
      <c r="M22" s="13" t="s">
        <v>68</v>
      </c>
      <c r="N22" s="14" t="s">
        <v>68</v>
      </c>
      <c r="O22" s="109" t="s">
        <v>68</v>
      </c>
      <c r="P22" s="41" t="s">
        <v>68</v>
      </c>
      <c r="Q22" s="41" t="s">
        <v>68</v>
      </c>
      <c r="R22" s="41" t="s">
        <v>68</v>
      </c>
      <c r="S22" s="41" t="s">
        <v>68</v>
      </c>
      <c r="T22" s="111" t="s">
        <v>68</v>
      </c>
      <c r="U22" s="109" t="s">
        <v>68</v>
      </c>
      <c r="V22" s="41" t="s">
        <v>68</v>
      </c>
      <c r="W22" s="41" t="s">
        <v>68</v>
      </c>
      <c r="X22" s="41" t="s">
        <v>68</v>
      </c>
      <c r="Y22" s="41" t="s">
        <v>68</v>
      </c>
      <c r="Z22" s="41" t="s">
        <v>68</v>
      </c>
      <c r="AA22" s="111" t="s">
        <v>68</v>
      </c>
      <c r="AB22" s="109" t="s">
        <v>68</v>
      </c>
      <c r="AC22" s="41" t="s">
        <v>68</v>
      </c>
      <c r="AD22" s="41" t="s">
        <v>68</v>
      </c>
      <c r="AE22" s="41" t="s">
        <v>68</v>
      </c>
      <c r="AF22" s="41" t="s">
        <v>68</v>
      </c>
      <c r="AG22" s="41" t="s">
        <v>68</v>
      </c>
      <c r="AH22" s="111" t="s">
        <v>68</v>
      </c>
      <c r="AI22" s="129" t="s">
        <v>552</v>
      </c>
      <c r="AJ22" s="54"/>
    </row>
    <row r="23" spans="1:36" x14ac:dyDescent="0.35">
      <c r="A23" s="60" t="s">
        <v>108</v>
      </c>
      <c r="B23" s="10" t="s">
        <v>3</v>
      </c>
      <c r="C23" s="11" t="s">
        <v>147</v>
      </c>
      <c r="D23" s="12" t="s">
        <v>524</v>
      </c>
      <c r="E23" s="12" t="s">
        <v>326</v>
      </c>
      <c r="F23" s="13" t="s">
        <v>115</v>
      </c>
      <c r="G23" s="13" t="s">
        <v>87</v>
      </c>
      <c r="H23" s="14" t="s">
        <v>50</v>
      </c>
      <c r="I23" s="11" t="s">
        <v>68</v>
      </c>
      <c r="J23" s="12" t="s">
        <v>68</v>
      </c>
      <c r="K23" s="12" t="s">
        <v>68</v>
      </c>
      <c r="L23" s="13" t="s">
        <v>68</v>
      </c>
      <c r="M23" s="13" t="s">
        <v>68</v>
      </c>
      <c r="N23" s="14" t="s">
        <v>68</v>
      </c>
      <c r="O23" s="11" t="s">
        <v>331</v>
      </c>
      <c r="P23" s="12" t="s">
        <v>331</v>
      </c>
      <c r="Q23" s="12" t="s">
        <v>331</v>
      </c>
      <c r="R23" s="13" t="s">
        <v>331</v>
      </c>
      <c r="S23" s="13" t="s">
        <v>331</v>
      </c>
      <c r="T23" s="14" t="s">
        <v>331</v>
      </c>
      <c r="U23" s="11" t="s">
        <v>170</v>
      </c>
      <c r="V23" s="12" t="s">
        <v>301</v>
      </c>
      <c r="W23" s="12" t="s">
        <v>455</v>
      </c>
      <c r="X23" s="12" t="s">
        <v>220</v>
      </c>
      <c r="Y23" s="12" t="s">
        <v>87</v>
      </c>
      <c r="Z23" s="13" t="s">
        <v>246</v>
      </c>
      <c r="AA23" s="14" t="s">
        <v>456</v>
      </c>
      <c r="AB23" s="11" t="s">
        <v>331</v>
      </c>
      <c r="AC23" s="12" t="s">
        <v>331</v>
      </c>
      <c r="AD23" s="12" t="s">
        <v>331</v>
      </c>
      <c r="AE23" s="12" t="s">
        <v>331</v>
      </c>
      <c r="AF23" s="12" t="s">
        <v>331</v>
      </c>
      <c r="AG23" s="13" t="s">
        <v>331</v>
      </c>
      <c r="AH23" s="14" t="s">
        <v>331</v>
      </c>
      <c r="AI23" s="129" t="s">
        <v>552</v>
      </c>
      <c r="AJ23" s="54"/>
    </row>
    <row r="24" spans="1:36" x14ac:dyDescent="0.35">
      <c r="A24" s="142" t="s">
        <v>110</v>
      </c>
      <c r="B24" s="61" t="s">
        <v>3</v>
      </c>
      <c r="C24" s="11" t="s">
        <v>331</v>
      </c>
      <c r="D24" s="12" t="s">
        <v>331</v>
      </c>
      <c r="E24" s="12" t="s">
        <v>331</v>
      </c>
      <c r="F24" s="13" t="s">
        <v>331</v>
      </c>
      <c r="G24" s="13" t="s">
        <v>331</v>
      </c>
      <c r="H24" s="14" t="s">
        <v>331</v>
      </c>
      <c r="I24" s="11" t="s">
        <v>68</v>
      </c>
      <c r="J24" s="12" t="s">
        <v>68</v>
      </c>
      <c r="K24" s="12" t="s">
        <v>68</v>
      </c>
      <c r="L24" s="13" t="s">
        <v>68</v>
      </c>
      <c r="M24" s="13" t="s">
        <v>68</v>
      </c>
      <c r="N24" s="14" t="s">
        <v>68</v>
      </c>
      <c r="O24" s="109" t="s">
        <v>68</v>
      </c>
      <c r="P24" s="41" t="s">
        <v>68</v>
      </c>
      <c r="Q24" s="41" t="s">
        <v>68</v>
      </c>
      <c r="R24" s="41" t="s">
        <v>68</v>
      </c>
      <c r="S24" s="41" t="s">
        <v>68</v>
      </c>
      <c r="T24" s="111" t="s">
        <v>68</v>
      </c>
      <c r="U24" s="109" t="s">
        <v>68</v>
      </c>
      <c r="V24" s="41" t="s">
        <v>68</v>
      </c>
      <c r="W24" s="41" t="s">
        <v>68</v>
      </c>
      <c r="X24" s="41" t="s">
        <v>68</v>
      </c>
      <c r="Y24" s="41" t="s">
        <v>68</v>
      </c>
      <c r="Z24" s="41" t="s">
        <v>68</v>
      </c>
      <c r="AA24" s="111" t="s">
        <v>68</v>
      </c>
      <c r="AB24" s="109" t="s">
        <v>68</v>
      </c>
      <c r="AC24" s="41" t="s">
        <v>68</v>
      </c>
      <c r="AD24" s="41" t="s">
        <v>68</v>
      </c>
      <c r="AE24" s="41" t="s">
        <v>68</v>
      </c>
      <c r="AF24" s="41" t="s">
        <v>68</v>
      </c>
      <c r="AG24" s="41" t="s">
        <v>68</v>
      </c>
      <c r="AH24" s="111" t="s">
        <v>68</v>
      </c>
      <c r="AI24" s="139" t="s">
        <v>570</v>
      </c>
      <c r="AJ24" s="54"/>
    </row>
    <row r="25" spans="1:36" x14ac:dyDescent="0.35">
      <c r="A25" s="142" t="s">
        <v>112</v>
      </c>
      <c r="B25" s="61" t="s">
        <v>3</v>
      </c>
      <c r="C25" s="118" t="s">
        <v>68</v>
      </c>
      <c r="D25" s="119" t="s">
        <v>68</v>
      </c>
      <c r="E25" s="119" t="s">
        <v>68</v>
      </c>
      <c r="F25" s="120" t="s">
        <v>68</v>
      </c>
      <c r="G25" s="120" t="s">
        <v>68</v>
      </c>
      <c r="H25" s="121" t="s">
        <v>68</v>
      </c>
      <c r="I25" s="11" t="s">
        <v>331</v>
      </c>
      <c r="J25" s="12" t="s">
        <v>331</v>
      </c>
      <c r="K25" s="12" t="s">
        <v>331</v>
      </c>
      <c r="L25" s="13" t="s">
        <v>331</v>
      </c>
      <c r="M25" s="13" t="s">
        <v>331</v>
      </c>
      <c r="N25" s="14" t="s">
        <v>331</v>
      </c>
      <c r="O25" s="11" t="s">
        <v>331</v>
      </c>
      <c r="P25" s="12" t="s">
        <v>331</v>
      </c>
      <c r="Q25" s="12" t="s">
        <v>331</v>
      </c>
      <c r="R25" s="13" t="s">
        <v>331</v>
      </c>
      <c r="S25" s="13" t="s">
        <v>331</v>
      </c>
      <c r="T25" s="14" t="s">
        <v>331</v>
      </c>
      <c r="U25" s="11" t="s">
        <v>331</v>
      </c>
      <c r="V25" s="12" t="s">
        <v>331</v>
      </c>
      <c r="W25" s="12" t="s">
        <v>331</v>
      </c>
      <c r="X25" s="12" t="s">
        <v>331</v>
      </c>
      <c r="Y25" s="12" t="s">
        <v>331</v>
      </c>
      <c r="Z25" s="13" t="s">
        <v>331</v>
      </c>
      <c r="AA25" s="14" t="s">
        <v>331</v>
      </c>
      <c r="AB25" s="11" t="s">
        <v>331</v>
      </c>
      <c r="AC25" s="12" t="s">
        <v>331</v>
      </c>
      <c r="AD25" s="12" t="s">
        <v>331</v>
      </c>
      <c r="AE25" s="12" t="s">
        <v>331</v>
      </c>
      <c r="AF25" s="12" t="s">
        <v>331</v>
      </c>
      <c r="AG25" s="13" t="s">
        <v>331</v>
      </c>
      <c r="AH25" s="14" t="s">
        <v>331</v>
      </c>
      <c r="AI25" s="43" t="s">
        <v>552</v>
      </c>
      <c r="AJ25" s="54" t="s">
        <v>525</v>
      </c>
    </row>
    <row r="26" spans="1:36" x14ac:dyDescent="0.35">
      <c r="A26" s="142" t="s">
        <v>28</v>
      </c>
      <c r="B26" s="61" t="s">
        <v>1</v>
      </c>
      <c r="C26" s="11" t="s">
        <v>126</v>
      </c>
      <c r="D26" s="12" t="s">
        <v>491</v>
      </c>
      <c r="E26" s="12" t="s">
        <v>492</v>
      </c>
      <c r="F26" s="13" t="s">
        <v>115</v>
      </c>
      <c r="G26" s="13" t="s">
        <v>478</v>
      </c>
      <c r="H26" s="14" t="s">
        <v>49</v>
      </c>
      <c r="I26" s="11" t="s">
        <v>382</v>
      </c>
      <c r="J26" s="12" t="s">
        <v>495</v>
      </c>
      <c r="K26" s="12" t="s">
        <v>496</v>
      </c>
      <c r="L26" s="13" t="s">
        <v>225</v>
      </c>
      <c r="M26" s="13" t="s">
        <v>115</v>
      </c>
      <c r="N26" s="14" t="s">
        <v>380</v>
      </c>
      <c r="O26" s="11" t="s">
        <v>382</v>
      </c>
      <c r="P26" s="12" t="s">
        <v>494</v>
      </c>
      <c r="Q26" s="12" t="s">
        <v>493</v>
      </c>
      <c r="R26" s="13" t="s">
        <v>225</v>
      </c>
      <c r="S26" s="13" t="s">
        <v>115</v>
      </c>
      <c r="T26" s="14" t="s">
        <v>60</v>
      </c>
      <c r="U26" s="11" t="s">
        <v>382</v>
      </c>
      <c r="V26" s="12" t="s">
        <v>495</v>
      </c>
      <c r="W26" s="12" t="s">
        <v>496</v>
      </c>
      <c r="X26" s="12" t="s">
        <v>225</v>
      </c>
      <c r="Y26" s="12" t="s">
        <v>115</v>
      </c>
      <c r="Z26" s="13" t="s">
        <v>246</v>
      </c>
      <c r="AA26" s="14" t="s">
        <v>60</v>
      </c>
      <c r="AB26" s="11" t="s">
        <v>382</v>
      </c>
      <c r="AC26" s="12" t="s">
        <v>497</v>
      </c>
      <c r="AD26" s="12" t="s">
        <v>498</v>
      </c>
      <c r="AE26" s="12" t="s">
        <v>220</v>
      </c>
      <c r="AF26" s="12" t="s">
        <v>87</v>
      </c>
      <c r="AG26" s="13" t="s">
        <v>246</v>
      </c>
      <c r="AH26" s="14" t="s">
        <v>60</v>
      </c>
      <c r="AI26" s="43" t="s">
        <v>552</v>
      </c>
      <c r="AJ26" s="54"/>
    </row>
    <row r="27" spans="1:36" x14ac:dyDescent="0.35">
      <c r="A27" s="1" t="s">
        <v>6</v>
      </c>
      <c r="B27" s="143" t="s">
        <v>1</v>
      </c>
      <c r="C27" s="11" t="s">
        <v>126</v>
      </c>
      <c r="D27" s="12" t="s">
        <v>436</v>
      </c>
      <c r="E27" s="12" t="s">
        <v>526</v>
      </c>
      <c r="F27" s="13" t="s">
        <v>115</v>
      </c>
      <c r="G27" s="13" t="s">
        <v>87</v>
      </c>
      <c r="H27" s="14" t="s">
        <v>49</v>
      </c>
      <c r="I27" s="11" t="s">
        <v>68</v>
      </c>
      <c r="J27" s="12" t="s">
        <v>68</v>
      </c>
      <c r="K27" s="12" t="s">
        <v>68</v>
      </c>
      <c r="L27" s="13" t="s">
        <v>68</v>
      </c>
      <c r="M27" s="13" t="s">
        <v>68</v>
      </c>
      <c r="N27" s="14" t="s">
        <v>68</v>
      </c>
      <c r="O27" s="11" t="s">
        <v>382</v>
      </c>
      <c r="P27" s="12" t="s">
        <v>383</v>
      </c>
      <c r="Q27" s="12" t="s">
        <v>384</v>
      </c>
      <c r="R27" s="13" t="s">
        <v>220</v>
      </c>
      <c r="S27" s="13" t="s">
        <v>87</v>
      </c>
      <c r="T27" s="14" t="s">
        <v>58</v>
      </c>
      <c r="U27" s="11" t="s">
        <v>382</v>
      </c>
      <c r="V27" s="12" t="s">
        <v>385</v>
      </c>
      <c r="W27" s="12" t="s">
        <v>386</v>
      </c>
      <c r="X27" s="12" t="s">
        <v>220</v>
      </c>
      <c r="Y27" s="12" t="s">
        <v>87</v>
      </c>
      <c r="Z27" s="13" t="s">
        <v>246</v>
      </c>
      <c r="AA27" s="14" t="s">
        <v>58</v>
      </c>
      <c r="AB27" s="11" t="s">
        <v>331</v>
      </c>
      <c r="AC27" s="12" t="s">
        <v>331</v>
      </c>
      <c r="AD27" s="12" t="s">
        <v>331</v>
      </c>
      <c r="AE27" s="12" t="s">
        <v>331</v>
      </c>
      <c r="AF27" s="12" t="s">
        <v>331</v>
      </c>
      <c r="AG27" s="13" t="s">
        <v>331</v>
      </c>
      <c r="AH27" s="14" t="s">
        <v>331</v>
      </c>
      <c r="AI27" s="43" t="s">
        <v>554</v>
      </c>
      <c r="AJ27" s="54"/>
    </row>
    <row r="28" spans="1:36" s="69" customFormat="1" x14ac:dyDescent="0.35">
      <c r="A28" s="63" t="s">
        <v>7</v>
      </c>
      <c r="B28" s="144" t="s">
        <v>1</v>
      </c>
      <c r="C28" s="64" t="s">
        <v>382</v>
      </c>
      <c r="D28" s="65" t="s">
        <v>474</v>
      </c>
      <c r="E28" s="65" t="s">
        <v>475</v>
      </c>
      <c r="F28" s="66" t="s">
        <v>87</v>
      </c>
      <c r="G28" s="66" t="s">
        <v>478</v>
      </c>
      <c r="H28" s="67" t="s">
        <v>47</v>
      </c>
      <c r="I28" s="64" t="s">
        <v>142</v>
      </c>
      <c r="J28" s="65" t="s">
        <v>387</v>
      </c>
      <c r="K28" s="65" t="s">
        <v>388</v>
      </c>
      <c r="L28" s="66" t="s">
        <v>220</v>
      </c>
      <c r="M28" s="66" t="s">
        <v>87</v>
      </c>
      <c r="N28" s="67" t="s">
        <v>390</v>
      </c>
      <c r="O28" s="64" t="s">
        <v>141</v>
      </c>
      <c r="P28" s="65" t="s">
        <v>150</v>
      </c>
      <c r="Q28" s="65" t="s">
        <v>389</v>
      </c>
      <c r="R28" s="66" t="s">
        <v>220</v>
      </c>
      <c r="S28" s="66" t="s">
        <v>87</v>
      </c>
      <c r="T28" s="67" t="s">
        <v>56</v>
      </c>
      <c r="U28" s="64" t="s">
        <v>142</v>
      </c>
      <c r="V28" s="65" t="s">
        <v>391</v>
      </c>
      <c r="W28" s="65" t="s">
        <v>392</v>
      </c>
      <c r="X28" s="65" t="s">
        <v>225</v>
      </c>
      <c r="Y28" s="65" t="s">
        <v>87</v>
      </c>
      <c r="Z28" s="66" t="s">
        <v>393</v>
      </c>
      <c r="AA28" s="67" t="s">
        <v>390</v>
      </c>
      <c r="AB28" s="64" t="s">
        <v>331</v>
      </c>
      <c r="AC28" s="65" t="s">
        <v>331</v>
      </c>
      <c r="AD28" s="65" t="s">
        <v>331</v>
      </c>
      <c r="AE28" s="65" t="s">
        <v>331</v>
      </c>
      <c r="AF28" s="65" t="s">
        <v>331</v>
      </c>
      <c r="AG28" s="66" t="s">
        <v>331</v>
      </c>
      <c r="AH28" s="67" t="s">
        <v>331</v>
      </c>
      <c r="AI28" s="140" t="s">
        <v>552</v>
      </c>
      <c r="AJ28" s="68" t="s">
        <v>464</v>
      </c>
    </row>
    <row r="29" spans="1:36" x14ac:dyDescent="0.35">
      <c r="A29" s="142" t="s">
        <v>11</v>
      </c>
      <c r="B29" s="61" t="s">
        <v>1</v>
      </c>
      <c r="C29" s="8">
        <v>5</v>
      </c>
      <c r="D29" s="8">
        <v>250</v>
      </c>
      <c r="E29" s="8">
        <v>-23.6</v>
      </c>
      <c r="F29" s="8" t="s">
        <v>115</v>
      </c>
      <c r="G29" s="8" t="s">
        <v>87</v>
      </c>
      <c r="H29" s="8" t="s">
        <v>53</v>
      </c>
      <c r="I29" s="11" t="s">
        <v>68</v>
      </c>
      <c r="J29" s="12" t="s">
        <v>68</v>
      </c>
      <c r="K29" s="12" t="s">
        <v>68</v>
      </c>
      <c r="L29" s="13" t="s">
        <v>68</v>
      </c>
      <c r="M29" s="13" t="s">
        <v>68</v>
      </c>
      <c r="N29" s="14" t="s">
        <v>68</v>
      </c>
      <c r="O29" s="11" t="s">
        <v>148</v>
      </c>
      <c r="P29" s="12" t="s">
        <v>528</v>
      </c>
      <c r="Q29" s="12" t="s">
        <v>579</v>
      </c>
      <c r="R29" s="13" t="s">
        <v>220</v>
      </c>
      <c r="S29" s="13" t="s">
        <v>115</v>
      </c>
      <c r="T29" s="14" t="s">
        <v>54</v>
      </c>
      <c r="U29" s="11" t="s">
        <v>148</v>
      </c>
      <c r="V29" s="12" t="s">
        <v>182</v>
      </c>
      <c r="W29" s="12" t="s">
        <v>580</v>
      </c>
      <c r="X29" s="12" t="s">
        <v>220</v>
      </c>
      <c r="Y29" s="12" t="s">
        <v>87</v>
      </c>
      <c r="Z29" s="13" t="s">
        <v>246</v>
      </c>
      <c r="AA29" s="14" t="s">
        <v>54</v>
      </c>
      <c r="AB29" s="11" t="s">
        <v>148</v>
      </c>
      <c r="AC29" s="12" t="s">
        <v>581</v>
      </c>
      <c r="AD29" s="12" t="s">
        <v>582</v>
      </c>
      <c r="AE29" s="12" t="s">
        <v>225</v>
      </c>
      <c r="AF29" s="12" t="s">
        <v>115</v>
      </c>
      <c r="AG29" s="13" t="s">
        <v>246</v>
      </c>
      <c r="AH29" s="14" t="s">
        <v>54</v>
      </c>
      <c r="AI29" s="138" t="s">
        <v>552</v>
      </c>
      <c r="AJ29" s="54" t="s">
        <v>239</v>
      </c>
    </row>
    <row r="30" spans="1:36" x14ac:dyDescent="0.35">
      <c r="A30" s="142" t="s">
        <v>15</v>
      </c>
      <c r="B30" s="61" t="s">
        <v>1</v>
      </c>
      <c r="C30" s="11" t="s">
        <v>331</v>
      </c>
      <c r="D30" s="12" t="s">
        <v>331</v>
      </c>
      <c r="E30" s="12" t="s">
        <v>331</v>
      </c>
      <c r="F30" s="13" t="s">
        <v>331</v>
      </c>
      <c r="G30" s="13" t="s">
        <v>331</v>
      </c>
      <c r="H30" s="14" t="s">
        <v>331</v>
      </c>
      <c r="I30" s="11" t="s">
        <v>331</v>
      </c>
      <c r="J30" s="12" t="s">
        <v>331</v>
      </c>
      <c r="K30" s="12" t="s">
        <v>331</v>
      </c>
      <c r="L30" s="13" t="s">
        <v>331</v>
      </c>
      <c r="M30" s="13" t="s">
        <v>331</v>
      </c>
      <c r="N30" s="14" t="s">
        <v>331</v>
      </c>
      <c r="O30" s="11" t="s">
        <v>331</v>
      </c>
      <c r="P30" s="12" t="s">
        <v>331</v>
      </c>
      <c r="Q30" s="12" t="s">
        <v>331</v>
      </c>
      <c r="R30" s="13" t="s">
        <v>331</v>
      </c>
      <c r="S30" s="13" t="s">
        <v>331</v>
      </c>
      <c r="T30" s="14" t="s">
        <v>331</v>
      </c>
      <c r="U30" s="11" t="s">
        <v>331</v>
      </c>
      <c r="V30" s="12" t="s">
        <v>331</v>
      </c>
      <c r="W30" s="12" t="s">
        <v>331</v>
      </c>
      <c r="X30" s="12" t="s">
        <v>331</v>
      </c>
      <c r="Y30" s="12" t="s">
        <v>331</v>
      </c>
      <c r="Z30" s="13" t="s">
        <v>331</v>
      </c>
      <c r="AA30" s="14" t="s">
        <v>331</v>
      </c>
      <c r="AB30" s="11" t="s">
        <v>331</v>
      </c>
      <c r="AC30" s="12" t="s">
        <v>331</v>
      </c>
      <c r="AD30" s="12" t="s">
        <v>331</v>
      </c>
      <c r="AE30" s="12" t="s">
        <v>331</v>
      </c>
      <c r="AF30" s="12" t="s">
        <v>331</v>
      </c>
      <c r="AG30" s="13" t="s">
        <v>331</v>
      </c>
      <c r="AH30" s="14" t="s">
        <v>331</v>
      </c>
      <c r="AI30" s="43" t="s">
        <v>560</v>
      </c>
      <c r="AJ30" s="54"/>
    </row>
    <row r="31" spans="1:36" x14ac:dyDescent="0.35">
      <c r="A31" s="142" t="s">
        <v>75</v>
      </c>
      <c r="B31" s="61" t="s">
        <v>1</v>
      </c>
      <c r="C31" s="11" t="s">
        <v>142</v>
      </c>
      <c r="D31" s="12" t="s">
        <v>528</v>
      </c>
      <c r="E31" s="12" t="s">
        <v>527</v>
      </c>
      <c r="F31" s="13" t="s">
        <v>115</v>
      </c>
      <c r="G31" s="13" t="s">
        <v>87</v>
      </c>
      <c r="H31" s="14" t="s">
        <v>48</v>
      </c>
      <c r="I31" s="11" t="s">
        <v>331</v>
      </c>
      <c r="J31" s="12" t="s">
        <v>331</v>
      </c>
      <c r="K31" s="12" t="s">
        <v>331</v>
      </c>
      <c r="L31" s="13" t="s">
        <v>331</v>
      </c>
      <c r="M31" s="13" t="s">
        <v>331</v>
      </c>
      <c r="N31" s="14" t="s">
        <v>331</v>
      </c>
      <c r="O31" s="11" t="s">
        <v>147</v>
      </c>
      <c r="P31" s="12" t="s">
        <v>394</v>
      </c>
      <c r="Q31" s="12" t="s">
        <v>395</v>
      </c>
      <c r="R31" s="13" t="s">
        <v>220</v>
      </c>
      <c r="S31" s="13" t="s">
        <v>87</v>
      </c>
      <c r="T31" s="14" t="s">
        <v>59</v>
      </c>
      <c r="U31" s="11" t="s">
        <v>147</v>
      </c>
      <c r="V31" s="12" t="s">
        <v>396</v>
      </c>
      <c r="W31" s="12" t="s">
        <v>397</v>
      </c>
      <c r="X31" s="12" t="s">
        <v>220</v>
      </c>
      <c r="Y31" s="12" t="s">
        <v>87</v>
      </c>
      <c r="Z31" s="13" t="s">
        <v>246</v>
      </c>
      <c r="AA31" s="14" t="s">
        <v>59</v>
      </c>
      <c r="AB31" s="11" t="s">
        <v>331</v>
      </c>
      <c r="AC31" s="12" t="s">
        <v>331</v>
      </c>
      <c r="AD31" s="12" t="s">
        <v>331</v>
      </c>
      <c r="AE31" s="12" t="s">
        <v>331</v>
      </c>
      <c r="AF31" s="12" t="s">
        <v>331</v>
      </c>
      <c r="AG31" s="13" t="s">
        <v>331</v>
      </c>
      <c r="AH31" s="14" t="s">
        <v>331</v>
      </c>
      <c r="AI31" s="43" t="s">
        <v>552</v>
      </c>
      <c r="AJ31" s="54"/>
    </row>
    <row r="32" spans="1:36" x14ac:dyDescent="0.35">
      <c r="A32" s="142" t="s">
        <v>16</v>
      </c>
      <c r="B32" s="61" t="s">
        <v>1</v>
      </c>
      <c r="C32" s="11" t="s">
        <v>148</v>
      </c>
      <c r="D32" s="12" t="s">
        <v>132</v>
      </c>
      <c r="E32" s="12" t="s">
        <v>529</v>
      </c>
      <c r="F32" s="13" t="s">
        <v>87</v>
      </c>
      <c r="G32" s="13" t="s">
        <v>478</v>
      </c>
      <c r="H32" s="14" t="s">
        <v>51</v>
      </c>
      <c r="I32" s="11" t="s">
        <v>129</v>
      </c>
      <c r="J32" s="12" t="s">
        <v>143</v>
      </c>
      <c r="K32" s="12" t="s">
        <v>398</v>
      </c>
      <c r="L32" s="13" t="s">
        <v>225</v>
      </c>
      <c r="M32" s="13" t="s">
        <v>87</v>
      </c>
      <c r="N32" s="14" t="s">
        <v>390</v>
      </c>
      <c r="O32" s="11" t="s">
        <v>125</v>
      </c>
      <c r="P32" s="12" t="s">
        <v>358</v>
      </c>
      <c r="Q32" s="12" t="s">
        <v>399</v>
      </c>
      <c r="R32" s="13" t="s">
        <v>220</v>
      </c>
      <c r="S32" s="13" t="s">
        <v>87</v>
      </c>
      <c r="T32" s="14" t="s">
        <v>400</v>
      </c>
      <c r="U32" s="11" t="s">
        <v>125</v>
      </c>
      <c r="V32" s="12" t="s">
        <v>401</v>
      </c>
      <c r="W32" s="12" t="s">
        <v>402</v>
      </c>
      <c r="X32" s="12" t="s">
        <v>225</v>
      </c>
      <c r="Y32" s="12" t="s">
        <v>87</v>
      </c>
      <c r="Z32" s="13" t="s">
        <v>246</v>
      </c>
      <c r="AA32" s="14" t="s">
        <v>400</v>
      </c>
      <c r="AB32" s="11" t="s">
        <v>331</v>
      </c>
      <c r="AC32" s="12" t="s">
        <v>331</v>
      </c>
      <c r="AD32" s="12" t="s">
        <v>331</v>
      </c>
      <c r="AE32" s="12" t="s">
        <v>331</v>
      </c>
      <c r="AF32" s="12" t="s">
        <v>331</v>
      </c>
      <c r="AG32" s="13" t="s">
        <v>331</v>
      </c>
      <c r="AH32" s="14" t="s">
        <v>331</v>
      </c>
      <c r="AI32" s="138" t="s">
        <v>561</v>
      </c>
      <c r="AJ32" s="54"/>
    </row>
    <row r="33" spans="1:36" x14ac:dyDescent="0.35">
      <c r="A33" s="142" t="s">
        <v>78</v>
      </c>
      <c r="B33" s="61" t="s">
        <v>1</v>
      </c>
      <c r="C33" s="11" t="s">
        <v>331</v>
      </c>
      <c r="D33" s="12" t="s">
        <v>331</v>
      </c>
      <c r="E33" s="12" t="s">
        <v>331</v>
      </c>
      <c r="F33" s="13" t="s">
        <v>331</v>
      </c>
      <c r="G33" s="13" t="s">
        <v>331</v>
      </c>
      <c r="H33" s="14" t="s">
        <v>331</v>
      </c>
      <c r="I33" s="11" t="s">
        <v>134</v>
      </c>
      <c r="J33" s="12" t="s">
        <v>128</v>
      </c>
      <c r="K33" s="12" t="s">
        <v>403</v>
      </c>
      <c r="L33" s="13" t="s">
        <v>220</v>
      </c>
      <c r="M33" s="13" t="s">
        <v>87</v>
      </c>
      <c r="N33" s="14" t="s">
        <v>54</v>
      </c>
      <c r="O33" s="11" t="s">
        <v>126</v>
      </c>
      <c r="P33" s="12" t="s">
        <v>404</v>
      </c>
      <c r="Q33" s="12" t="s">
        <v>405</v>
      </c>
      <c r="R33" s="13" t="s">
        <v>225</v>
      </c>
      <c r="S33" s="13" t="s">
        <v>87</v>
      </c>
      <c r="T33" s="14" t="s">
        <v>406</v>
      </c>
      <c r="U33" s="11" t="s">
        <v>331</v>
      </c>
      <c r="V33" s="12" t="s">
        <v>331</v>
      </c>
      <c r="W33" s="12" t="s">
        <v>331</v>
      </c>
      <c r="X33" s="12" t="s">
        <v>331</v>
      </c>
      <c r="Y33" s="12" t="s">
        <v>331</v>
      </c>
      <c r="Z33" s="13" t="s">
        <v>331</v>
      </c>
      <c r="AA33" s="14" t="s">
        <v>331</v>
      </c>
      <c r="AB33" s="11" t="s">
        <v>331</v>
      </c>
      <c r="AC33" s="12" t="s">
        <v>331</v>
      </c>
      <c r="AD33" s="12" t="s">
        <v>331</v>
      </c>
      <c r="AE33" s="12" t="s">
        <v>331</v>
      </c>
      <c r="AF33" s="12" t="s">
        <v>331</v>
      </c>
      <c r="AG33" s="13" t="s">
        <v>331</v>
      </c>
      <c r="AH33" s="14" t="s">
        <v>331</v>
      </c>
      <c r="AI33" s="43" t="s">
        <v>562</v>
      </c>
      <c r="AJ33" s="54"/>
    </row>
    <row r="34" spans="1:36" x14ac:dyDescent="0.35">
      <c r="A34" s="142" t="s">
        <v>19</v>
      </c>
      <c r="B34" s="61" t="s">
        <v>1</v>
      </c>
      <c r="C34" s="11" t="s">
        <v>129</v>
      </c>
      <c r="D34" s="12" t="s">
        <v>530</v>
      </c>
      <c r="E34" s="12" t="s">
        <v>264</v>
      </c>
      <c r="F34" s="13" t="s">
        <v>87</v>
      </c>
      <c r="G34" s="13" t="s">
        <v>87</v>
      </c>
      <c r="H34" s="14" t="s">
        <v>50</v>
      </c>
      <c r="I34" s="11" t="s">
        <v>331</v>
      </c>
      <c r="J34" s="12" t="s">
        <v>331</v>
      </c>
      <c r="K34" s="12" t="s">
        <v>331</v>
      </c>
      <c r="L34" s="13" t="s">
        <v>331</v>
      </c>
      <c r="M34" s="13" t="s">
        <v>331</v>
      </c>
      <c r="N34" s="14" t="s">
        <v>331</v>
      </c>
      <c r="O34" s="11" t="s">
        <v>331</v>
      </c>
      <c r="P34" s="12" t="s">
        <v>331</v>
      </c>
      <c r="Q34" s="12" t="s">
        <v>331</v>
      </c>
      <c r="R34" s="13" t="s">
        <v>331</v>
      </c>
      <c r="S34" s="13" t="s">
        <v>331</v>
      </c>
      <c r="T34" s="14" t="s">
        <v>331</v>
      </c>
      <c r="U34" s="11" t="s">
        <v>331</v>
      </c>
      <c r="V34" s="12" t="s">
        <v>331</v>
      </c>
      <c r="W34" s="12" t="s">
        <v>331</v>
      </c>
      <c r="X34" s="12" t="s">
        <v>331</v>
      </c>
      <c r="Y34" s="12" t="s">
        <v>331</v>
      </c>
      <c r="Z34" s="13" t="s">
        <v>331</v>
      </c>
      <c r="AA34" s="14" t="s">
        <v>331</v>
      </c>
      <c r="AB34" s="11" t="s">
        <v>331</v>
      </c>
      <c r="AC34" s="12" t="s">
        <v>331</v>
      </c>
      <c r="AD34" s="12" t="s">
        <v>331</v>
      </c>
      <c r="AE34" s="12" t="s">
        <v>331</v>
      </c>
      <c r="AF34" s="12" t="s">
        <v>331</v>
      </c>
      <c r="AG34" s="13" t="s">
        <v>331</v>
      </c>
      <c r="AH34" s="14" t="s">
        <v>331</v>
      </c>
      <c r="AI34" s="43" t="s">
        <v>563</v>
      </c>
      <c r="AJ34" s="54"/>
    </row>
    <row r="35" spans="1:36" x14ac:dyDescent="0.35">
      <c r="A35" s="142" t="s">
        <v>20</v>
      </c>
      <c r="B35" s="61" t="s">
        <v>1</v>
      </c>
      <c r="C35" s="11" t="s">
        <v>382</v>
      </c>
      <c r="D35" s="12" t="s">
        <v>160</v>
      </c>
      <c r="E35" s="12" t="s">
        <v>531</v>
      </c>
      <c r="F35" s="13" t="s">
        <v>115</v>
      </c>
      <c r="G35" s="13" t="s">
        <v>87</v>
      </c>
      <c r="H35" s="14" t="s">
        <v>51</v>
      </c>
      <c r="I35" s="109" t="s">
        <v>68</v>
      </c>
      <c r="J35" s="41" t="s">
        <v>68</v>
      </c>
      <c r="K35" s="41" t="s">
        <v>68</v>
      </c>
      <c r="L35" s="41" t="s">
        <v>68</v>
      </c>
      <c r="M35" s="41" t="s">
        <v>68</v>
      </c>
      <c r="N35" s="111" t="s">
        <v>68</v>
      </c>
      <c r="O35" s="109" t="s">
        <v>68</v>
      </c>
      <c r="P35" s="41" t="s">
        <v>68</v>
      </c>
      <c r="Q35" s="41" t="s">
        <v>68</v>
      </c>
      <c r="R35" s="41" t="s">
        <v>68</v>
      </c>
      <c r="S35" s="41" t="s">
        <v>68</v>
      </c>
      <c r="T35" s="111" t="s">
        <v>68</v>
      </c>
      <c r="U35" s="109" t="s">
        <v>68</v>
      </c>
      <c r="V35" s="41" t="s">
        <v>68</v>
      </c>
      <c r="W35" s="41" t="s">
        <v>68</v>
      </c>
      <c r="X35" s="41" t="s">
        <v>68</v>
      </c>
      <c r="Y35" s="41" t="s">
        <v>68</v>
      </c>
      <c r="Z35" s="41" t="s">
        <v>68</v>
      </c>
      <c r="AA35" s="14" t="s">
        <v>68</v>
      </c>
      <c r="AB35" s="109" t="s">
        <v>68</v>
      </c>
      <c r="AC35" s="41" t="s">
        <v>68</v>
      </c>
      <c r="AD35" s="41" t="s">
        <v>68</v>
      </c>
      <c r="AE35" s="41" t="s">
        <v>68</v>
      </c>
      <c r="AF35" s="41" t="s">
        <v>68</v>
      </c>
      <c r="AG35" s="41" t="s">
        <v>68</v>
      </c>
      <c r="AH35" s="111" t="s">
        <v>68</v>
      </c>
      <c r="AI35" s="139" t="s">
        <v>552</v>
      </c>
      <c r="AJ35" s="54"/>
    </row>
    <row r="36" spans="1:36" x14ac:dyDescent="0.35">
      <c r="A36" s="142" t="s">
        <v>21</v>
      </c>
      <c r="B36" s="61" t="s">
        <v>1</v>
      </c>
      <c r="C36" s="11" t="s">
        <v>142</v>
      </c>
      <c r="D36" s="12" t="s">
        <v>532</v>
      </c>
      <c r="E36" s="12" t="s">
        <v>533</v>
      </c>
      <c r="F36" s="13" t="s">
        <v>87</v>
      </c>
      <c r="G36" s="13" t="s">
        <v>115</v>
      </c>
      <c r="H36" s="14" t="s">
        <v>49</v>
      </c>
      <c r="I36" s="109" t="s">
        <v>68</v>
      </c>
      <c r="J36" s="41" t="s">
        <v>68</v>
      </c>
      <c r="K36" s="41" t="s">
        <v>68</v>
      </c>
      <c r="L36" s="41" t="s">
        <v>68</v>
      </c>
      <c r="M36" s="41" t="s">
        <v>68</v>
      </c>
      <c r="N36" s="111" t="s">
        <v>68</v>
      </c>
      <c r="O36" s="109" t="s">
        <v>68</v>
      </c>
      <c r="P36" s="41" t="s">
        <v>68</v>
      </c>
      <c r="Q36" s="41" t="s">
        <v>68</v>
      </c>
      <c r="R36" s="41" t="s">
        <v>68</v>
      </c>
      <c r="S36" s="41" t="s">
        <v>68</v>
      </c>
      <c r="T36" s="111" t="s">
        <v>68</v>
      </c>
      <c r="U36" s="109" t="s">
        <v>68</v>
      </c>
      <c r="V36" s="41" t="s">
        <v>68</v>
      </c>
      <c r="W36" s="41" t="s">
        <v>68</v>
      </c>
      <c r="X36" s="41" t="s">
        <v>68</v>
      </c>
      <c r="Y36" s="41" t="s">
        <v>68</v>
      </c>
      <c r="Z36" s="41" t="s">
        <v>68</v>
      </c>
      <c r="AA36" s="14" t="s">
        <v>68</v>
      </c>
      <c r="AB36" s="109" t="s">
        <v>68</v>
      </c>
      <c r="AC36" s="41" t="s">
        <v>68</v>
      </c>
      <c r="AD36" s="41" t="s">
        <v>68</v>
      </c>
      <c r="AE36" s="41" t="s">
        <v>68</v>
      </c>
      <c r="AF36" s="41" t="s">
        <v>68</v>
      </c>
      <c r="AG36" s="41" t="s">
        <v>68</v>
      </c>
      <c r="AH36" s="111" t="s">
        <v>68</v>
      </c>
      <c r="AI36" s="137" t="s">
        <v>552</v>
      </c>
      <c r="AJ36" s="54"/>
    </row>
    <row r="37" spans="1:36" x14ac:dyDescent="0.35">
      <c r="A37" s="142" t="s">
        <v>32</v>
      </c>
      <c r="B37" s="61" t="s">
        <v>1</v>
      </c>
      <c r="C37" s="11" t="s">
        <v>331</v>
      </c>
      <c r="D37" s="12" t="s">
        <v>331</v>
      </c>
      <c r="E37" s="12" t="s">
        <v>331</v>
      </c>
      <c r="F37" s="13" t="s">
        <v>331</v>
      </c>
      <c r="G37" s="13" t="s">
        <v>331</v>
      </c>
      <c r="H37" s="14" t="s">
        <v>331</v>
      </c>
      <c r="I37" s="11" t="s">
        <v>126</v>
      </c>
      <c r="J37" s="12" t="s">
        <v>408</v>
      </c>
      <c r="K37" s="12" t="s">
        <v>409</v>
      </c>
      <c r="L37" s="13" t="s">
        <v>225</v>
      </c>
      <c r="M37" s="13" t="s">
        <v>87</v>
      </c>
      <c r="N37" s="14" t="s">
        <v>380</v>
      </c>
      <c r="O37" s="11" t="s">
        <v>144</v>
      </c>
      <c r="P37" s="12" t="s">
        <v>354</v>
      </c>
      <c r="Q37" s="12" t="s">
        <v>407</v>
      </c>
      <c r="R37" s="13" t="s">
        <v>220</v>
      </c>
      <c r="S37" s="13" t="s">
        <v>87</v>
      </c>
      <c r="T37" s="14" t="s">
        <v>58</v>
      </c>
      <c r="U37" s="11" t="s">
        <v>148</v>
      </c>
      <c r="V37" s="12" t="s">
        <v>193</v>
      </c>
      <c r="W37" s="12" t="s">
        <v>163</v>
      </c>
      <c r="X37" s="12" t="s">
        <v>220</v>
      </c>
      <c r="Y37" s="12" t="s">
        <v>87</v>
      </c>
      <c r="Z37" s="13" t="s">
        <v>393</v>
      </c>
      <c r="AA37" s="14" t="s">
        <v>380</v>
      </c>
      <c r="AB37" s="11" t="s">
        <v>331</v>
      </c>
      <c r="AC37" s="12" t="s">
        <v>331</v>
      </c>
      <c r="AD37" s="12" t="s">
        <v>331</v>
      </c>
      <c r="AE37" s="12" t="s">
        <v>331</v>
      </c>
      <c r="AF37" s="12" t="s">
        <v>331</v>
      </c>
      <c r="AG37" s="13" t="s">
        <v>331</v>
      </c>
      <c r="AH37" s="14" t="s">
        <v>331</v>
      </c>
      <c r="AI37" s="129" t="s">
        <v>552</v>
      </c>
      <c r="AJ37" s="54"/>
    </row>
    <row r="38" spans="1:36" x14ac:dyDescent="0.35">
      <c r="A38" s="142" t="s">
        <v>83</v>
      </c>
      <c r="B38" s="61" t="s">
        <v>1</v>
      </c>
      <c r="C38" s="11" t="s">
        <v>126</v>
      </c>
      <c r="D38" s="12" t="s">
        <v>534</v>
      </c>
      <c r="E38" s="12" t="s">
        <v>535</v>
      </c>
      <c r="F38" s="13" t="s">
        <v>115</v>
      </c>
      <c r="G38" s="13" t="s">
        <v>115</v>
      </c>
      <c r="H38" s="14" t="s">
        <v>47</v>
      </c>
      <c r="I38" s="11" t="s">
        <v>331</v>
      </c>
      <c r="J38" s="12" t="s">
        <v>331</v>
      </c>
      <c r="K38" s="12" t="s">
        <v>331</v>
      </c>
      <c r="L38" s="13" t="s">
        <v>331</v>
      </c>
      <c r="M38" s="13" t="s">
        <v>331</v>
      </c>
      <c r="N38" s="14" t="s">
        <v>331</v>
      </c>
      <c r="O38" s="11" t="s">
        <v>134</v>
      </c>
      <c r="P38" s="12" t="s">
        <v>143</v>
      </c>
      <c r="Q38" s="12" t="s">
        <v>410</v>
      </c>
      <c r="R38" s="13" t="s">
        <v>220</v>
      </c>
      <c r="S38" s="13" t="s">
        <v>87</v>
      </c>
      <c r="T38" s="14" t="s">
        <v>411</v>
      </c>
      <c r="U38" s="11" t="s">
        <v>134</v>
      </c>
      <c r="V38" s="12" t="s">
        <v>373</v>
      </c>
      <c r="W38" s="12" t="s">
        <v>412</v>
      </c>
      <c r="X38" s="12" t="s">
        <v>220</v>
      </c>
      <c r="Y38" s="12" t="s">
        <v>87</v>
      </c>
      <c r="Z38" s="13" t="s">
        <v>246</v>
      </c>
      <c r="AA38" s="14" t="s">
        <v>411</v>
      </c>
      <c r="AB38" s="11" t="s">
        <v>134</v>
      </c>
      <c r="AC38" s="12" t="s">
        <v>362</v>
      </c>
      <c r="AD38" s="12" t="s">
        <v>413</v>
      </c>
      <c r="AE38" s="12" t="s">
        <v>225</v>
      </c>
      <c r="AF38" s="12" t="s">
        <v>115</v>
      </c>
      <c r="AG38" s="13" t="s">
        <v>246</v>
      </c>
      <c r="AH38" s="14" t="s">
        <v>411</v>
      </c>
      <c r="AI38" s="129" t="s">
        <v>564</v>
      </c>
      <c r="AJ38" s="54"/>
    </row>
    <row r="39" spans="1:36" x14ac:dyDescent="0.35">
      <c r="A39" s="142" t="s">
        <v>34</v>
      </c>
      <c r="B39" s="61" t="s">
        <v>1</v>
      </c>
      <c r="C39" s="11" t="s">
        <v>331</v>
      </c>
      <c r="D39" s="12" t="s">
        <v>331</v>
      </c>
      <c r="E39" s="12" t="s">
        <v>331</v>
      </c>
      <c r="F39" s="13" t="s">
        <v>331</v>
      </c>
      <c r="G39" s="13" t="s">
        <v>331</v>
      </c>
      <c r="H39" s="14" t="s">
        <v>331</v>
      </c>
      <c r="I39" s="11" t="s">
        <v>331</v>
      </c>
      <c r="J39" s="12" t="s">
        <v>331</v>
      </c>
      <c r="K39" s="12" t="s">
        <v>331</v>
      </c>
      <c r="L39" s="13" t="s">
        <v>331</v>
      </c>
      <c r="M39" s="13" t="s">
        <v>331</v>
      </c>
      <c r="N39" s="14" t="s">
        <v>331</v>
      </c>
      <c r="O39" s="11" t="s">
        <v>331</v>
      </c>
      <c r="P39" s="12" t="s">
        <v>331</v>
      </c>
      <c r="Q39" s="12" t="s">
        <v>331</v>
      </c>
      <c r="R39" s="13" t="s">
        <v>331</v>
      </c>
      <c r="S39" s="13" t="s">
        <v>331</v>
      </c>
      <c r="T39" s="14" t="s">
        <v>331</v>
      </c>
      <c r="U39" s="11" t="s">
        <v>331</v>
      </c>
      <c r="V39" s="12" t="s">
        <v>331</v>
      </c>
      <c r="W39" s="12" t="s">
        <v>331</v>
      </c>
      <c r="X39" s="12" t="s">
        <v>331</v>
      </c>
      <c r="Y39" s="12" t="s">
        <v>331</v>
      </c>
      <c r="Z39" s="13" t="s">
        <v>331</v>
      </c>
      <c r="AA39" s="14" t="s">
        <v>331</v>
      </c>
      <c r="AB39" s="11" t="s">
        <v>331</v>
      </c>
      <c r="AC39" s="12" t="s">
        <v>331</v>
      </c>
      <c r="AD39" s="12" t="s">
        <v>331</v>
      </c>
      <c r="AE39" s="12" t="s">
        <v>331</v>
      </c>
      <c r="AF39" s="12" t="s">
        <v>331</v>
      </c>
      <c r="AG39" s="13" t="s">
        <v>331</v>
      </c>
      <c r="AH39" s="14" t="s">
        <v>331</v>
      </c>
      <c r="AI39" s="126" t="s">
        <v>565</v>
      </c>
      <c r="AJ39" s="54"/>
    </row>
    <row r="40" spans="1:36" x14ac:dyDescent="0.35">
      <c r="A40" s="142" t="s">
        <v>88</v>
      </c>
      <c r="B40" s="61" t="s">
        <v>1</v>
      </c>
      <c r="C40" s="11" t="s">
        <v>331</v>
      </c>
      <c r="D40" s="12" t="s">
        <v>331</v>
      </c>
      <c r="E40" s="12" t="s">
        <v>331</v>
      </c>
      <c r="F40" s="13" t="s">
        <v>331</v>
      </c>
      <c r="G40" s="13" t="s">
        <v>331</v>
      </c>
      <c r="H40" s="14" t="s">
        <v>331</v>
      </c>
      <c r="I40" s="11" t="s">
        <v>68</v>
      </c>
      <c r="J40" s="12" t="s">
        <v>68</v>
      </c>
      <c r="K40" s="12" t="s">
        <v>68</v>
      </c>
      <c r="L40" s="13" t="s">
        <v>68</v>
      </c>
      <c r="M40" s="13" t="s">
        <v>68</v>
      </c>
      <c r="N40" s="14" t="s">
        <v>68</v>
      </c>
      <c r="O40" s="11" t="s">
        <v>170</v>
      </c>
      <c r="P40" s="12" t="s">
        <v>414</v>
      </c>
      <c r="Q40" s="12" t="s">
        <v>415</v>
      </c>
      <c r="R40" s="13" t="s">
        <v>220</v>
      </c>
      <c r="S40" s="13" t="s">
        <v>87</v>
      </c>
      <c r="T40" s="14" t="s">
        <v>52</v>
      </c>
      <c r="U40" s="11" t="s">
        <v>331</v>
      </c>
      <c r="V40" s="12" t="s">
        <v>331</v>
      </c>
      <c r="W40" s="12" t="s">
        <v>331</v>
      </c>
      <c r="X40" s="12" t="s">
        <v>331</v>
      </c>
      <c r="Y40" s="12" t="s">
        <v>331</v>
      </c>
      <c r="Z40" s="13" t="s">
        <v>331</v>
      </c>
      <c r="AA40" s="14" t="s">
        <v>331</v>
      </c>
      <c r="AB40" s="11" t="s">
        <v>331</v>
      </c>
      <c r="AC40" s="12" t="s">
        <v>331</v>
      </c>
      <c r="AD40" s="12" t="s">
        <v>331</v>
      </c>
      <c r="AE40" s="12" t="s">
        <v>331</v>
      </c>
      <c r="AF40" s="12" t="s">
        <v>331</v>
      </c>
      <c r="AG40" s="13" t="s">
        <v>331</v>
      </c>
      <c r="AH40" s="14" t="s">
        <v>331</v>
      </c>
      <c r="AI40" s="129" t="s">
        <v>552</v>
      </c>
      <c r="AJ40" s="54"/>
    </row>
    <row r="41" spans="1:36" x14ac:dyDescent="0.35">
      <c r="A41" s="142" t="s">
        <v>89</v>
      </c>
      <c r="B41" s="61" t="s">
        <v>1</v>
      </c>
      <c r="C41" s="11" t="s">
        <v>125</v>
      </c>
      <c r="D41" s="12" t="s">
        <v>135</v>
      </c>
      <c r="E41" s="12" t="s">
        <v>536</v>
      </c>
      <c r="F41" s="13" t="s">
        <v>115</v>
      </c>
      <c r="G41" s="13" t="s">
        <v>478</v>
      </c>
      <c r="H41" s="14" t="s">
        <v>61</v>
      </c>
      <c r="I41" s="109" t="s">
        <v>68</v>
      </c>
      <c r="J41" s="41" t="s">
        <v>68</v>
      </c>
      <c r="K41" s="41" t="s">
        <v>68</v>
      </c>
      <c r="L41" s="41" t="s">
        <v>68</v>
      </c>
      <c r="M41" s="41" t="s">
        <v>68</v>
      </c>
      <c r="N41" s="111" t="s">
        <v>68</v>
      </c>
      <c r="O41" s="109" t="s">
        <v>68</v>
      </c>
      <c r="P41" s="41" t="s">
        <v>68</v>
      </c>
      <c r="Q41" s="41" t="s">
        <v>68</v>
      </c>
      <c r="R41" s="41" t="s">
        <v>68</v>
      </c>
      <c r="S41" s="41" t="s">
        <v>68</v>
      </c>
      <c r="T41" s="111" t="s">
        <v>68</v>
      </c>
      <c r="U41" s="109" t="s">
        <v>68</v>
      </c>
      <c r="V41" s="41" t="s">
        <v>68</v>
      </c>
      <c r="W41" s="41" t="s">
        <v>68</v>
      </c>
      <c r="X41" s="41" t="s">
        <v>68</v>
      </c>
      <c r="Y41" s="41" t="s">
        <v>68</v>
      </c>
      <c r="Z41" s="41" t="s">
        <v>68</v>
      </c>
      <c r="AA41" s="14" t="s">
        <v>68</v>
      </c>
      <c r="AB41" s="109" t="s">
        <v>68</v>
      </c>
      <c r="AC41" s="41" t="s">
        <v>68</v>
      </c>
      <c r="AD41" s="41" t="s">
        <v>68</v>
      </c>
      <c r="AE41" s="41" t="s">
        <v>68</v>
      </c>
      <c r="AF41" s="41" t="s">
        <v>68</v>
      </c>
      <c r="AG41" s="41" t="s">
        <v>68</v>
      </c>
      <c r="AH41" s="111" t="s">
        <v>68</v>
      </c>
      <c r="AI41" s="129" t="s">
        <v>552</v>
      </c>
      <c r="AJ41" s="54"/>
    </row>
    <row r="42" spans="1:36" x14ac:dyDescent="0.35">
      <c r="A42" s="142" t="s">
        <v>36</v>
      </c>
      <c r="B42" s="61" t="s">
        <v>1</v>
      </c>
      <c r="C42" s="11" t="s">
        <v>331</v>
      </c>
      <c r="D42" s="12" t="s">
        <v>331</v>
      </c>
      <c r="E42" s="12" t="s">
        <v>331</v>
      </c>
      <c r="F42" s="13" t="s">
        <v>331</v>
      </c>
      <c r="G42" s="13" t="s">
        <v>331</v>
      </c>
      <c r="H42" s="14" t="s">
        <v>331</v>
      </c>
      <c r="I42" s="11" t="s">
        <v>68</v>
      </c>
      <c r="J42" s="12" t="s">
        <v>68</v>
      </c>
      <c r="K42" s="12" t="s">
        <v>68</v>
      </c>
      <c r="L42" s="13" t="s">
        <v>68</v>
      </c>
      <c r="M42" s="13" t="s">
        <v>68</v>
      </c>
      <c r="N42" s="14" t="s">
        <v>68</v>
      </c>
      <c r="O42" s="11" t="s">
        <v>125</v>
      </c>
      <c r="P42" s="12" t="s">
        <v>416</v>
      </c>
      <c r="Q42" s="12" t="s">
        <v>417</v>
      </c>
      <c r="R42" s="13" t="s">
        <v>225</v>
      </c>
      <c r="S42" s="13" t="s">
        <v>87</v>
      </c>
      <c r="T42" s="14" t="s">
        <v>54</v>
      </c>
      <c r="U42" s="11" t="s">
        <v>125</v>
      </c>
      <c r="V42" s="12" t="s">
        <v>418</v>
      </c>
      <c r="W42" s="12" t="s">
        <v>419</v>
      </c>
      <c r="X42" s="12" t="s">
        <v>225</v>
      </c>
      <c r="Y42" s="12" t="s">
        <v>87</v>
      </c>
      <c r="Z42" s="13" t="s">
        <v>246</v>
      </c>
      <c r="AA42" s="14" t="s">
        <v>54</v>
      </c>
      <c r="AB42" s="11" t="s">
        <v>331</v>
      </c>
      <c r="AC42" s="12" t="s">
        <v>331</v>
      </c>
      <c r="AD42" s="12" t="s">
        <v>331</v>
      </c>
      <c r="AE42" s="12" t="s">
        <v>331</v>
      </c>
      <c r="AF42" s="12" t="s">
        <v>331</v>
      </c>
      <c r="AG42" s="13" t="s">
        <v>331</v>
      </c>
      <c r="AH42" s="14" t="s">
        <v>331</v>
      </c>
      <c r="AI42" s="129" t="s">
        <v>566</v>
      </c>
      <c r="AJ42" s="54"/>
    </row>
    <row r="43" spans="1:36" x14ac:dyDescent="0.35">
      <c r="A43" s="142" t="s">
        <v>24</v>
      </c>
      <c r="B43" s="61" t="s">
        <v>1</v>
      </c>
      <c r="C43" s="11" t="s">
        <v>134</v>
      </c>
      <c r="D43" s="12" t="s">
        <v>499</v>
      </c>
      <c r="E43" s="12" t="s">
        <v>500</v>
      </c>
      <c r="F43" s="13" t="s">
        <v>87</v>
      </c>
      <c r="G43" s="13" t="s">
        <v>87</v>
      </c>
      <c r="H43" s="14" t="s">
        <v>47</v>
      </c>
      <c r="I43" s="11" t="s">
        <v>68</v>
      </c>
      <c r="J43" s="12" t="s">
        <v>68</v>
      </c>
      <c r="K43" s="12" t="s">
        <v>68</v>
      </c>
      <c r="L43" s="13" t="s">
        <v>68</v>
      </c>
      <c r="M43" s="13" t="s">
        <v>68</v>
      </c>
      <c r="N43" s="14" t="s">
        <v>68</v>
      </c>
      <c r="O43" s="11" t="s">
        <v>134</v>
      </c>
      <c r="P43" s="12" t="s">
        <v>137</v>
      </c>
      <c r="Q43" s="12" t="s">
        <v>501</v>
      </c>
      <c r="R43" s="13" t="s">
        <v>220</v>
      </c>
      <c r="S43" s="13" t="s">
        <v>87</v>
      </c>
      <c r="T43" s="14" t="s">
        <v>390</v>
      </c>
      <c r="U43" s="11" t="s">
        <v>134</v>
      </c>
      <c r="V43" s="12" t="s">
        <v>502</v>
      </c>
      <c r="W43" s="12" t="s">
        <v>398</v>
      </c>
      <c r="X43" s="12" t="s">
        <v>225</v>
      </c>
      <c r="Y43" s="12" t="s">
        <v>115</v>
      </c>
      <c r="Z43" s="13" t="s">
        <v>246</v>
      </c>
      <c r="AA43" s="14" t="s">
        <v>390</v>
      </c>
      <c r="AB43" s="11" t="s">
        <v>331</v>
      </c>
      <c r="AC43" s="12" t="s">
        <v>331</v>
      </c>
      <c r="AD43" s="12" t="s">
        <v>331</v>
      </c>
      <c r="AE43" s="12" t="s">
        <v>331</v>
      </c>
      <c r="AF43" s="12" t="s">
        <v>331</v>
      </c>
      <c r="AG43" s="13" t="s">
        <v>331</v>
      </c>
      <c r="AH43" s="14" t="s">
        <v>331</v>
      </c>
      <c r="AI43" s="129" t="s">
        <v>552</v>
      </c>
      <c r="AJ43" s="54" t="s">
        <v>239</v>
      </c>
    </row>
    <row r="44" spans="1:36" x14ac:dyDescent="0.35">
      <c r="A44" s="51" t="s">
        <v>95</v>
      </c>
      <c r="B44" s="61" t="s">
        <v>1</v>
      </c>
      <c r="C44" s="11" t="s">
        <v>125</v>
      </c>
      <c r="D44" s="12" t="s">
        <v>471</v>
      </c>
      <c r="E44" s="12" t="s">
        <v>472</v>
      </c>
      <c r="F44" s="13" t="s">
        <v>115</v>
      </c>
      <c r="G44" s="13" t="s">
        <v>115</v>
      </c>
      <c r="H44" s="14" t="s">
        <v>57</v>
      </c>
      <c r="I44" s="11" t="s">
        <v>68</v>
      </c>
      <c r="J44" s="12" t="s">
        <v>68</v>
      </c>
      <c r="K44" s="12" t="s">
        <v>68</v>
      </c>
      <c r="L44" s="13" t="s">
        <v>68</v>
      </c>
      <c r="M44" s="13" t="s">
        <v>68</v>
      </c>
      <c r="N44" s="14" t="s">
        <v>68</v>
      </c>
      <c r="O44" s="11" t="s">
        <v>126</v>
      </c>
      <c r="P44" s="12" t="s">
        <v>420</v>
      </c>
      <c r="Q44" s="12" t="s">
        <v>421</v>
      </c>
      <c r="R44" s="13" t="s">
        <v>225</v>
      </c>
      <c r="S44" s="13" t="s">
        <v>87</v>
      </c>
      <c r="T44" s="14" t="s">
        <v>390</v>
      </c>
      <c r="U44" s="11" t="s">
        <v>148</v>
      </c>
      <c r="V44" s="12" t="s">
        <v>422</v>
      </c>
      <c r="W44" s="12" t="s">
        <v>423</v>
      </c>
      <c r="X44" s="12" t="s">
        <v>225</v>
      </c>
      <c r="Y44" s="12" t="s">
        <v>87</v>
      </c>
      <c r="Z44" s="13" t="s">
        <v>246</v>
      </c>
      <c r="AA44" s="14" t="s">
        <v>52</v>
      </c>
      <c r="AB44" s="11" t="s">
        <v>126</v>
      </c>
      <c r="AC44" s="12" t="s">
        <v>211</v>
      </c>
      <c r="AD44" s="12" t="s">
        <v>157</v>
      </c>
      <c r="AE44" s="12" t="s">
        <v>225</v>
      </c>
      <c r="AF44" s="12" t="s">
        <v>87</v>
      </c>
      <c r="AG44" s="13" t="s">
        <v>246</v>
      </c>
      <c r="AH44" s="14" t="s">
        <v>390</v>
      </c>
      <c r="AI44" s="129" t="s">
        <v>552</v>
      </c>
      <c r="AJ44" s="54"/>
    </row>
    <row r="45" spans="1:36" x14ac:dyDescent="0.35">
      <c r="A45" s="142" t="s">
        <v>96</v>
      </c>
      <c r="B45" s="61" t="s">
        <v>1</v>
      </c>
      <c r="C45" s="11" t="s">
        <v>147</v>
      </c>
      <c r="D45" s="12" t="s">
        <v>307</v>
      </c>
      <c r="E45" s="12" t="s">
        <v>537</v>
      </c>
      <c r="F45" s="13" t="s">
        <v>115</v>
      </c>
      <c r="G45" s="13" t="s">
        <v>115</v>
      </c>
      <c r="H45" s="14" t="s">
        <v>61</v>
      </c>
      <c r="I45" s="11" t="s">
        <v>68</v>
      </c>
      <c r="J45" s="12" t="s">
        <v>68</v>
      </c>
      <c r="K45" s="12" t="s">
        <v>68</v>
      </c>
      <c r="L45" s="13" t="s">
        <v>68</v>
      </c>
      <c r="M45" s="13" t="s">
        <v>68</v>
      </c>
      <c r="N45" s="14" t="s">
        <v>68</v>
      </c>
      <c r="O45" s="109" t="s">
        <v>68</v>
      </c>
      <c r="P45" s="41" t="s">
        <v>68</v>
      </c>
      <c r="Q45" s="41" t="s">
        <v>68</v>
      </c>
      <c r="R45" s="41" t="s">
        <v>68</v>
      </c>
      <c r="S45" s="41" t="s">
        <v>68</v>
      </c>
      <c r="T45" s="111" t="s">
        <v>68</v>
      </c>
      <c r="U45" s="109" t="s">
        <v>68</v>
      </c>
      <c r="V45" s="41" t="s">
        <v>68</v>
      </c>
      <c r="W45" s="41" t="s">
        <v>68</v>
      </c>
      <c r="X45" s="41" t="s">
        <v>68</v>
      </c>
      <c r="Y45" s="41" t="s">
        <v>68</v>
      </c>
      <c r="Z45" s="41" t="s">
        <v>68</v>
      </c>
      <c r="AA45" s="111" t="s">
        <v>68</v>
      </c>
      <c r="AB45" s="109" t="s">
        <v>68</v>
      </c>
      <c r="AC45" s="41" t="s">
        <v>68</v>
      </c>
      <c r="AD45" s="41" t="s">
        <v>68</v>
      </c>
      <c r="AE45" s="41" t="s">
        <v>68</v>
      </c>
      <c r="AF45" s="41" t="s">
        <v>68</v>
      </c>
      <c r="AG45" s="41" t="s">
        <v>68</v>
      </c>
      <c r="AH45" s="111" t="s">
        <v>68</v>
      </c>
      <c r="AI45" s="129" t="s">
        <v>552</v>
      </c>
      <c r="AJ45" s="54"/>
    </row>
    <row r="46" spans="1:36" x14ac:dyDescent="0.35">
      <c r="A46" s="142" t="s">
        <v>99</v>
      </c>
      <c r="B46" s="61" t="s">
        <v>1</v>
      </c>
      <c r="C46" s="11" t="s">
        <v>125</v>
      </c>
      <c r="D46" s="12" t="s">
        <v>538</v>
      </c>
      <c r="E46" s="12" t="s">
        <v>540</v>
      </c>
      <c r="F46" s="13" t="s">
        <v>115</v>
      </c>
      <c r="G46" s="13" t="s">
        <v>87</v>
      </c>
      <c r="H46" s="14" t="s">
        <v>51</v>
      </c>
      <c r="I46" s="11" t="s">
        <v>68</v>
      </c>
      <c r="J46" s="12" t="s">
        <v>68</v>
      </c>
      <c r="K46" s="12" t="s">
        <v>68</v>
      </c>
      <c r="L46" s="13" t="s">
        <v>68</v>
      </c>
      <c r="M46" s="13" t="s">
        <v>68</v>
      </c>
      <c r="N46" s="14" t="s">
        <v>68</v>
      </c>
      <c r="O46" s="11" t="s">
        <v>148</v>
      </c>
      <c r="P46" s="12" t="s">
        <v>383</v>
      </c>
      <c r="Q46" s="12" t="s">
        <v>424</v>
      </c>
      <c r="R46" s="13" t="s">
        <v>225</v>
      </c>
      <c r="S46" s="13" t="s">
        <v>87</v>
      </c>
      <c r="T46" s="14" t="s">
        <v>390</v>
      </c>
      <c r="U46" s="11" t="s">
        <v>331</v>
      </c>
      <c r="V46" s="12" t="s">
        <v>331</v>
      </c>
      <c r="W46" s="12" t="s">
        <v>331</v>
      </c>
      <c r="X46" s="12" t="s">
        <v>331</v>
      </c>
      <c r="Y46" s="12" t="s">
        <v>331</v>
      </c>
      <c r="Z46" s="13" t="s">
        <v>331</v>
      </c>
      <c r="AA46" s="14" t="s">
        <v>331</v>
      </c>
      <c r="AB46" s="11" t="s">
        <v>331</v>
      </c>
      <c r="AC46" s="12" t="s">
        <v>331</v>
      </c>
      <c r="AD46" s="12" t="s">
        <v>331</v>
      </c>
      <c r="AE46" s="12" t="s">
        <v>331</v>
      </c>
      <c r="AF46" s="12" t="s">
        <v>331</v>
      </c>
      <c r="AG46" s="13" t="s">
        <v>331</v>
      </c>
      <c r="AH46" s="14" t="s">
        <v>331</v>
      </c>
      <c r="AI46" s="129" t="s">
        <v>552</v>
      </c>
      <c r="AJ46" s="54"/>
    </row>
    <row r="47" spans="1:36" x14ac:dyDescent="0.35">
      <c r="A47" s="142" t="s">
        <v>62</v>
      </c>
      <c r="B47" s="61" t="s">
        <v>1</v>
      </c>
      <c r="C47" s="11" t="s">
        <v>144</v>
      </c>
      <c r="D47" s="12" t="s">
        <v>543</v>
      </c>
      <c r="E47" s="12" t="s">
        <v>539</v>
      </c>
      <c r="F47" s="13" t="s">
        <v>115</v>
      </c>
      <c r="G47" s="13" t="s">
        <v>87</v>
      </c>
      <c r="H47" s="14" t="s">
        <v>47</v>
      </c>
      <c r="I47" s="11" t="s">
        <v>68</v>
      </c>
      <c r="J47" s="12" t="s">
        <v>68</v>
      </c>
      <c r="K47" s="12" t="s">
        <v>68</v>
      </c>
      <c r="L47" s="13" t="s">
        <v>68</v>
      </c>
      <c r="M47" s="13" t="s">
        <v>68</v>
      </c>
      <c r="N47" s="14" t="s">
        <v>68</v>
      </c>
      <c r="O47" s="11" t="s">
        <v>129</v>
      </c>
      <c r="P47" s="12" t="s">
        <v>425</v>
      </c>
      <c r="Q47" s="12" t="s">
        <v>426</v>
      </c>
      <c r="R47" s="13" t="s">
        <v>220</v>
      </c>
      <c r="S47" s="13" t="s">
        <v>87</v>
      </c>
      <c r="T47" s="14" t="s">
        <v>52</v>
      </c>
      <c r="U47" s="11" t="s">
        <v>129</v>
      </c>
      <c r="V47" s="12" t="s">
        <v>427</v>
      </c>
      <c r="W47" s="12" t="s">
        <v>428</v>
      </c>
      <c r="X47" s="12" t="s">
        <v>220</v>
      </c>
      <c r="Y47" s="12" t="s">
        <v>87</v>
      </c>
      <c r="Z47" s="13" t="s">
        <v>246</v>
      </c>
      <c r="AA47" s="14" t="s">
        <v>52</v>
      </c>
      <c r="AB47" s="11" t="s">
        <v>129</v>
      </c>
      <c r="AC47" s="12" t="s">
        <v>429</v>
      </c>
      <c r="AD47" s="12" t="s">
        <v>430</v>
      </c>
      <c r="AE47" s="12" t="s">
        <v>225</v>
      </c>
      <c r="AF47" s="12" t="s">
        <v>115</v>
      </c>
      <c r="AG47" s="13" t="s">
        <v>246</v>
      </c>
      <c r="AH47" s="14" t="s">
        <v>52</v>
      </c>
      <c r="AI47" s="129" t="s">
        <v>552</v>
      </c>
      <c r="AJ47" s="54"/>
    </row>
    <row r="48" spans="1:36" x14ac:dyDescent="0.35">
      <c r="A48" s="142" t="s">
        <v>431</v>
      </c>
      <c r="B48" s="61" t="s">
        <v>1</v>
      </c>
      <c r="C48" s="11" t="s">
        <v>134</v>
      </c>
      <c r="D48" s="12" t="s">
        <v>541</v>
      </c>
      <c r="E48" s="12" t="s">
        <v>542</v>
      </c>
      <c r="F48" s="13" t="s">
        <v>87</v>
      </c>
      <c r="G48" s="13" t="s">
        <v>87</v>
      </c>
      <c r="H48" s="14" t="s">
        <v>49</v>
      </c>
      <c r="I48" s="11" t="s">
        <v>144</v>
      </c>
      <c r="J48" s="12" t="s">
        <v>432</v>
      </c>
      <c r="K48" s="12" t="s">
        <v>433</v>
      </c>
      <c r="L48" s="13" t="s">
        <v>87</v>
      </c>
      <c r="M48" s="13" t="s">
        <v>87</v>
      </c>
      <c r="N48" s="14" t="s">
        <v>54</v>
      </c>
      <c r="O48" s="11" t="s">
        <v>148</v>
      </c>
      <c r="P48" s="12" t="s">
        <v>434</v>
      </c>
      <c r="Q48" s="12" t="s">
        <v>435</v>
      </c>
      <c r="R48" s="13" t="s">
        <v>87</v>
      </c>
      <c r="S48" s="13" t="s">
        <v>87</v>
      </c>
      <c r="T48" s="14" t="s">
        <v>380</v>
      </c>
      <c r="U48" s="11" t="s">
        <v>148</v>
      </c>
      <c r="V48" s="12" t="s">
        <v>436</v>
      </c>
      <c r="W48" s="12" t="s">
        <v>437</v>
      </c>
      <c r="X48" s="12" t="s">
        <v>87</v>
      </c>
      <c r="Y48" s="12" t="s">
        <v>87</v>
      </c>
      <c r="Z48" s="13" t="s">
        <v>246</v>
      </c>
      <c r="AA48" s="14" t="s">
        <v>380</v>
      </c>
      <c r="AB48" s="11" t="s">
        <v>148</v>
      </c>
      <c r="AC48" s="12" t="s">
        <v>438</v>
      </c>
      <c r="AD48" s="12" t="s">
        <v>439</v>
      </c>
      <c r="AE48" s="12" t="s">
        <v>225</v>
      </c>
      <c r="AF48" s="12" t="s">
        <v>115</v>
      </c>
      <c r="AG48" s="13" t="s">
        <v>246</v>
      </c>
      <c r="AH48" s="14" t="s">
        <v>380</v>
      </c>
      <c r="AI48" s="129" t="s">
        <v>567</v>
      </c>
      <c r="AJ48" s="54"/>
    </row>
    <row r="49" spans="1:36" x14ac:dyDescent="0.35">
      <c r="A49" s="142" t="s">
        <v>64</v>
      </c>
      <c r="B49" s="61" t="s">
        <v>1</v>
      </c>
      <c r="C49" s="11" t="s">
        <v>331</v>
      </c>
      <c r="D49" s="12" t="s">
        <v>331</v>
      </c>
      <c r="E49" s="12" t="s">
        <v>331</v>
      </c>
      <c r="F49" s="13" t="s">
        <v>331</v>
      </c>
      <c r="G49" s="13" t="s">
        <v>331</v>
      </c>
      <c r="H49" s="14" t="s">
        <v>331</v>
      </c>
      <c r="I49" s="11" t="s">
        <v>68</v>
      </c>
      <c r="J49" s="12" t="s">
        <v>68</v>
      </c>
      <c r="K49" s="12" t="s">
        <v>68</v>
      </c>
      <c r="L49" s="13" t="s">
        <v>68</v>
      </c>
      <c r="M49" s="13" t="s">
        <v>68</v>
      </c>
      <c r="N49" s="14" t="s">
        <v>68</v>
      </c>
      <c r="O49" s="11" t="s">
        <v>125</v>
      </c>
      <c r="P49" s="12" t="s">
        <v>149</v>
      </c>
      <c r="Q49" s="12" t="s">
        <v>440</v>
      </c>
      <c r="R49" s="13" t="s">
        <v>220</v>
      </c>
      <c r="S49" s="13" t="s">
        <v>87</v>
      </c>
      <c r="T49" s="14" t="s">
        <v>52</v>
      </c>
      <c r="U49" s="11" t="s">
        <v>331</v>
      </c>
      <c r="V49" s="12" t="s">
        <v>331</v>
      </c>
      <c r="W49" s="12" t="s">
        <v>331</v>
      </c>
      <c r="X49" s="12" t="s">
        <v>331</v>
      </c>
      <c r="Y49" s="12" t="s">
        <v>331</v>
      </c>
      <c r="Z49" s="13" t="s">
        <v>331</v>
      </c>
      <c r="AA49" s="14" t="s">
        <v>331</v>
      </c>
      <c r="AB49" s="11" t="s">
        <v>125</v>
      </c>
      <c r="AC49" s="12" t="s">
        <v>441</v>
      </c>
      <c r="AD49" s="12" t="s">
        <v>442</v>
      </c>
      <c r="AE49" s="12" t="s">
        <v>225</v>
      </c>
      <c r="AF49" s="12" t="s">
        <v>87</v>
      </c>
      <c r="AG49" s="13" t="s">
        <v>246</v>
      </c>
      <c r="AH49" s="14" t="s">
        <v>52</v>
      </c>
      <c r="AI49" s="129" t="s">
        <v>552</v>
      </c>
      <c r="AJ49" s="54"/>
    </row>
    <row r="50" spans="1:36" x14ac:dyDescent="0.35">
      <c r="A50" s="142" t="s">
        <v>105</v>
      </c>
      <c r="B50" s="61" t="s">
        <v>1</v>
      </c>
      <c r="C50" s="11" t="s">
        <v>148</v>
      </c>
      <c r="D50" s="12" t="s">
        <v>128</v>
      </c>
      <c r="E50" s="12" t="s">
        <v>544</v>
      </c>
      <c r="F50" s="13" t="s">
        <v>87</v>
      </c>
      <c r="G50" s="13" t="s">
        <v>87</v>
      </c>
      <c r="H50" s="14" t="s">
        <v>48</v>
      </c>
      <c r="I50" s="11" t="s">
        <v>331</v>
      </c>
      <c r="J50" s="12" t="s">
        <v>331</v>
      </c>
      <c r="K50" s="12" t="s">
        <v>331</v>
      </c>
      <c r="L50" s="13" t="s">
        <v>331</v>
      </c>
      <c r="M50" s="13" t="s">
        <v>331</v>
      </c>
      <c r="N50" s="14" t="s">
        <v>331</v>
      </c>
      <c r="O50" s="11" t="s">
        <v>331</v>
      </c>
      <c r="P50" s="12" t="s">
        <v>331</v>
      </c>
      <c r="Q50" s="12" t="s">
        <v>331</v>
      </c>
      <c r="R50" s="13" t="s">
        <v>331</v>
      </c>
      <c r="S50" s="13" t="s">
        <v>331</v>
      </c>
      <c r="T50" s="14" t="s">
        <v>331</v>
      </c>
      <c r="U50" s="11" t="s">
        <v>142</v>
      </c>
      <c r="V50" s="12" t="s">
        <v>443</v>
      </c>
      <c r="W50" s="12" t="s">
        <v>138</v>
      </c>
      <c r="X50" s="12" t="s">
        <v>225</v>
      </c>
      <c r="Y50" s="12" t="s">
        <v>87</v>
      </c>
      <c r="Z50" s="13" t="s">
        <v>246</v>
      </c>
      <c r="AA50" s="14" t="s">
        <v>56</v>
      </c>
      <c r="AB50" s="11" t="s">
        <v>331</v>
      </c>
      <c r="AC50" s="12" t="s">
        <v>331</v>
      </c>
      <c r="AD50" s="12" t="s">
        <v>331</v>
      </c>
      <c r="AE50" s="12" t="s">
        <v>331</v>
      </c>
      <c r="AF50" s="12" t="s">
        <v>331</v>
      </c>
      <c r="AG50" s="13" t="s">
        <v>331</v>
      </c>
      <c r="AH50" s="14" t="s">
        <v>331</v>
      </c>
      <c r="AI50" s="129" t="s">
        <v>568</v>
      </c>
      <c r="AJ50" s="54"/>
    </row>
    <row r="51" spans="1:36" x14ac:dyDescent="0.35">
      <c r="A51" s="142" t="s">
        <v>27</v>
      </c>
      <c r="B51" s="61" t="s">
        <v>1</v>
      </c>
      <c r="C51" s="11" t="s">
        <v>148</v>
      </c>
      <c r="D51" s="12" t="s">
        <v>160</v>
      </c>
      <c r="E51" s="12" t="s">
        <v>545</v>
      </c>
      <c r="F51" s="13" t="s">
        <v>115</v>
      </c>
      <c r="G51" s="13" t="s">
        <v>87</v>
      </c>
      <c r="H51" s="14" t="s">
        <v>53</v>
      </c>
      <c r="I51" s="11" t="s">
        <v>331</v>
      </c>
      <c r="J51" s="12" t="s">
        <v>331</v>
      </c>
      <c r="K51" s="12" t="s">
        <v>331</v>
      </c>
      <c r="L51" s="13" t="s">
        <v>331</v>
      </c>
      <c r="M51" s="13" t="s">
        <v>331</v>
      </c>
      <c r="N51" s="14" t="s">
        <v>331</v>
      </c>
      <c r="O51" s="11" t="s">
        <v>170</v>
      </c>
      <c r="P51" s="12" t="s">
        <v>444</v>
      </c>
      <c r="Q51" s="12" t="s">
        <v>445</v>
      </c>
      <c r="R51" s="13" t="s">
        <v>225</v>
      </c>
      <c r="S51" s="13" t="s">
        <v>87</v>
      </c>
      <c r="T51" s="14" t="s">
        <v>446</v>
      </c>
      <c r="U51" s="11" t="s">
        <v>170</v>
      </c>
      <c r="V51" s="12" t="s">
        <v>447</v>
      </c>
      <c r="W51" s="12" t="s">
        <v>448</v>
      </c>
      <c r="X51" s="12" t="s">
        <v>220</v>
      </c>
      <c r="Y51" s="12" t="s">
        <v>87</v>
      </c>
      <c r="Z51" s="13" t="s">
        <v>246</v>
      </c>
      <c r="AA51" s="14" t="s">
        <v>446</v>
      </c>
      <c r="AB51" s="11" t="s">
        <v>170</v>
      </c>
      <c r="AC51" s="12" t="s">
        <v>449</v>
      </c>
      <c r="AD51" s="12" t="s">
        <v>450</v>
      </c>
      <c r="AE51" s="12" t="s">
        <v>225</v>
      </c>
      <c r="AF51" s="12" t="s">
        <v>87</v>
      </c>
      <c r="AG51" s="13" t="s">
        <v>246</v>
      </c>
      <c r="AH51" s="14" t="s">
        <v>446</v>
      </c>
      <c r="AI51" s="129" t="s">
        <v>552</v>
      </c>
      <c r="AJ51" s="54"/>
    </row>
    <row r="52" spans="1:36" x14ac:dyDescent="0.35">
      <c r="A52" s="142" t="s">
        <v>109</v>
      </c>
      <c r="B52" s="61" t="s">
        <v>1</v>
      </c>
      <c r="C52" s="11" t="s">
        <v>134</v>
      </c>
      <c r="D52" s="12" t="s">
        <v>128</v>
      </c>
      <c r="E52" s="12" t="s">
        <v>546</v>
      </c>
      <c r="F52" s="13" t="s">
        <v>87</v>
      </c>
      <c r="G52" s="13" t="s">
        <v>87</v>
      </c>
      <c r="H52" s="14" t="s">
        <v>47</v>
      </c>
      <c r="I52" s="11" t="s">
        <v>141</v>
      </c>
      <c r="J52" s="12" t="s">
        <v>457</v>
      </c>
      <c r="K52" s="12" t="s">
        <v>458</v>
      </c>
      <c r="L52" s="13" t="s">
        <v>87</v>
      </c>
      <c r="M52" s="13" t="s">
        <v>87</v>
      </c>
      <c r="N52" s="14" t="s">
        <v>56</v>
      </c>
      <c r="O52" s="11" t="s">
        <v>134</v>
      </c>
      <c r="P52" s="12" t="s">
        <v>358</v>
      </c>
      <c r="Q52" s="12" t="s">
        <v>459</v>
      </c>
      <c r="R52" s="13" t="s">
        <v>220</v>
      </c>
      <c r="S52" s="13" t="s">
        <v>115</v>
      </c>
      <c r="T52" s="14" t="s">
        <v>59</v>
      </c>
      <c r="U52" s="11" t="s">
        <v>141</v>
      </c>
      <c r="V52" s="12" t="s">
        <v>460</v>
      </c>
      <c r="W52" s="12" t="s">
        <v>461</v>
      </c>
      <c r="X52" s="12" t="s">
        <v>87</v>
      </c>
      <c r="Y52" s="12" t="s">
        <v>87</v>
      </c>
      <c r="Z52" s="13" t="s">
        <v>247</v>
      </c>
      <c r="AA52" s="14" t="s">
        <v>56</v>
      </c>
      <c r="AB52" s="11" t="s">
        <v>141</v>
      </c>
      <c r="AC52" s="12" t="s">
        <v>258</v>
      </c>
      <c r="AD52" s="12" t="s">
        <v>462</v>
      </c>
      <c r="AE52" s="12" t="s">
        <v>225</v>
      </c>
      <c r="AF52" s="12" t="s">
        <v>87</v>
      </c>
      <c r="AG52" s="13" t="s">
        <v>247</v>
      </c>
      <c r="AH52" s="14" t="s">
        <v>56</v>
      </c>
      <c r="AI52" s="129" t="s">
        <v>570</v>
      </c>
      <c r="AJ52" s="54"/>
    </row>
    <row r="53" spans="1:36" ht="15" thickBot="1" x14ac:dyDescent="0.4">
      <c r="A53" s="142" t="s">
        <v>111</v>
      </c>
      <c r="B53" s="61" t="s">
        <v>1</v>
      </c>
      <c r="C53" s="11" t="s">
        <v>331</v>
      </c>
      <c r="D53" s="12" t="s">
        <v>331</v>
      </c>
      <c r="E53" s="12" t="s">
        <v>331</v>
      </c>
      <c r="F53" s="13" t="s">
        <v>331</v>
      </c>
      <c r="G53" s="13" t="s">
        <v>331</v>
      </c>
      <c r="H53" s="14" t="s">
        <v>331</v>
      </c>
      <c r="I53" s="109" t="s">
        <v>68</v>
      </c>
      <c r="J53" s="41" t="s">
        <v>68</v>
      </c>
      <c r="K53" s="41" t="s">
        <v>68</v>
      </c>
      <c r="L53" s="41" t="s">
        <v>68</v>
      </c>
      <c r="M53" s="41" t="s">
        <v>68</v>
      </c>
      <c r="N53" s="111" t="s">
        <v>68</v>
      </c>
      <c r="O53" s="109" t="s">
        <v>68</v>
      </c>
      <c r="P53" s="41" t="s">
        <v>68</v>
      </c>
      <c r="Q53" s="41" t="s">
        <v>68</v>
      </c>
      <c r="R53" s="41" t="s">
        <v>68</v>
      </c>
      <c r="S53" s="41" t="s">
        <v>68</v>
      </c>
      <c r="T53" s="111" t="s">
        <v>68</v>
      </c>
      <c r="U53" s="109" t="s">
        <v>68</v>
      </c>
      <c r="V53" s="41" t="s">
        <v>68</v>
      </c>
      <c r="W53" s="41" t="s">
        <v>68</v>
      </c>
      <c r="X53" s="41" t="s">
        <v>68</v>
      </c>
      <c r="Y53" s="41" t="s">
        <v>68</v>
      </c>
      <c r="Z53" s="41" t="s">
        <v>68</v>
      </c>
      <c r="AA53" s="111" t="s">
        <v>68</v>
      </c>
      <c r="AB53" s="109" t="s">
        <v>68</v>
      </c>
      <c r="AC53" s="41" t="s">
        <v>68</v>
      </c>
      <c r="AD53" s="41" t="s">
        <v>68</v>
      </c>
      <c r="AE53" s="41" t="s">
        <v>68</v>
      </c>
      <c r="AF53" s="41" t="s">
        <v>68</v>
      </c>
      <c r="AG53" s="41" t="s">
        <v>68</v>
      </c>
      <c r="AH53" s="111" t="s">
        <v>68</v>
      </c>
      <c r="AI53" s="130" t="s">
        <v>552</v>
      </c>
      <c r="AJ53" s="54"/>
    </row>
    <row r="54" spans="1:36" s="112" customFormat="1" x14ac:dyDescent="0.35">
      <c r="A54" s="146" t="s">
        <v>18</v>
      </c>
      <c r="B54" s="145" t="s">
        <v>3</v>
      </c>
      <c r="C54" s="109" t="s">
        <v>141</v>
      </c>
      <c r="D54" s="41" t="s">
        <v>519</v>
      </c>
      <c r="E54" s="41" t="s">
        <v>520</v>
      </c>
      <c r="F54" s="110" t="s">
        <v>115</v>
      </c>
      <c r="G54" s="110" t="s">
        <v>87</v>
      </c>
      <c r="H54" s="111" t="s">
        <v>47</v>
      </c>
      <c r="I54" s="109" t="s">
        <v>68</v>
      </c>
      <c r="J54" s="41" t="s">
        <v>68</v>
      </c>
      <c r="K54" s="41" t="s">
        <v>68</v>
      </c>
      <c r="L54" s="41" t="s">
        <v>68</v>
      </c>
      <c r="M54" s="41" t="s">
        <v>68</v>
      </c>
      <c r="N54" s="111" t="s">
        <v>68</v>
      </c>
      <c r="O54" s="109" t="s">
        <v>68</v>
      </c>
      <c r="P54" s="41" t="s">
        <v>68</v>
      </c>
      <c r="Q54" s="41" t="s">
        <v>68</v>
      </c>
      <c r="R54" s="41" t="s">
        <v>68</v>
      </c>
      <c r="S54" s="41" t="s">
        <v>68</v>
      </c>
      <c r="T54" s="111" t="s">
        <v>68</v>
      </c>
      <c r="U54" s="109" t="s">
        <v>68</v>
      </c>
      <c r="V54" s="41" t="s">
        <v>68</v>
      </c>
      <c r="W54" s="41" t="s">
        <v>68</v>
      </c>
      <c r="X54" s="41" t="s">
        <v>68</v>
      </c>
      <c r="Y54" s="41" t="s">
        <v>68</v>
      </c>
      <c r="Z54" s="41" t="s">
        <v>68</v>
      </c>
      <c r="AA54" s="111" t="s">
        <v>68</v>
      </c>
      <c r="AB54" s="109" t="s">
        <v>68</v>
      </c>
      <c r="AC54" s="41" t="s">
        <v>68</v>
      </c>
      <c r="AD54" s="41" t="s">
        <v>68</v>
      </c>
      <c r="AE54" s="41" t="s">
        <v>68</v>
      </c>
      <c r="AF54" s="41" t="s">
        <v>68</v>
      </c>
      <c r="AG54" s="41" t="s">
        <v>68</v>
      </c>
      <c r="AH54" s="111" t="s">
        <v>68</v>
      </c>
      <c r="AI54" s="129" t="s">
        <v>563</v>
      </c>
      <c r="AJ54" s="111" t="s">
        <v>68</v>
      </c>
    </row>
    <row r="55" spans="1:36" s="112" customFormat="1" x14ac:dyDescent="0.35">
      <c r="A55" s="147" t="s">
        <v>5</v>
      </c>
      <c r="B55" s="145" t="s">
        <v>2</v>
      </c>
      <c r="C55" s="109" t="s">
        <v>144</v>
      </c>
      <c r="D55" s="41" t="s">
        <v>145</v>
      </c>
      <c r="E55" s="41" t="s">
        <v>146</v>
      </c>
      <c r="F55" s="110" t="s">
        <v>481</v>
      </c>
      <c r="G55" s="110" t="s">
        <v>478</v>
      </c>
      <c r="H55" s="111" t="s">
        <v>48</v>
      </c>
      <c r="I55" s="109" t="s">
        <v>68</v>
      </c>
      <c r="J55" s="41" t="s">
        <v>68</v>
      </c>
      <c r="K55" s="41" t="s">
        <v>68</v>
      </c>
      <c r="L55" s="41" t="s">
        <v>68</v>
      </c>
      <c r="M55" s="41" t="s">
        <v>68</v>
      </c>
      <c r="N55" s="111" t="s">
        <v>68</v>
      </c>
      <c r="O55" s="109" t="s">
        <v>68</v>
      </c>
      <c r="P55" s="41" t="s">
        <v>68</v>
      </c>
      <c r="Q55" s="41" t="s">
        <v>68</v>
      </c>
      <c r="R55" s="41" t="s">
        <v>68</v>
      </c>
      <c r="S55" s="41" t="s">
        <v>68</v>
      </c>
      <c r="T55" s="111" t="s">
        <v>68</v>
      </c>
      <c r="U55" s="109" t="s">
        <v>68</v>
      </c>
      <c r="V55" s="41" t="s">
        <v>68</v>
      </c>
      <c r="W55" s="41" t="s">
        <v>68</v>
      </c>
      <c r="X55" s="41" t="s">
        <v>68</v>
      </c>
      <c r="Y55" s="41" t="s">
        <v>68</v>
      </c>
      <c r="Z55" s="41" t="s">
        <v>68</v>
      </c>
      <c r="AA55" s="111" t="s">
        <v>68</v>
      </c>
      <c r="AB55" s="109" t="s">
        <v>68</v>
      </c>
      <c r="AC55" s="41" t="s">
        <v>68</v>
      </c>
      <c r="AD55" s="41" t="s">
        <v>68</v>
      </c>
      <c r="AE55" s="41" t="s">
        <v>68</v>
      </c>
      <c r="AF55" s="41" t="s">
        <v>68</v>
      </c>
      <c r="AG55" s="41" t="s">
        <v>68</v>
      </c>
      <c r="AH55" s="111" t="s">
        <v>68</v>
      </c>
      <c r="AI55" s="43" t="s">
        <v>554</v>
      </c>
      <c r="AJ55" s="111" t="s">
        <v>68</v>
      </c>
    </row>
    <row r="56" spans="1:36" s="112" customFormat="1" ht="18" customHeight="1" x14ac:dyDescent="0.35">
      <c r="A56" s="107" t="s">
        <v>30</v>
      </c>
      <c r="B56" s="108" t="s">
        <v>2</v>
      </c>
      <c r="C56" s="113" t="s">
        <v>134</v>
      </c>
      <c r="D56" s="114" t="s">
        <v>135</v>
      </c>
      <c r="E56" s="114" t="s">
        <v>136</v>
      </c>
      <c r="F56" s="115" t="s">
        <v>115</v>
      </c>
      <c r="G56" s="110" t="s">
        <v>478</v>
      </c>
      <c r="H56" s="116" t="s">
        <v>49</v>
      </c>
      <c r="I56" s="109" t="s">
        <v>68</v>
      </c>
      <c r="J56" s="41" t="s">
        <v>68</v>
      </c>
      <c r="K56" s="41" t="s">
        <v>68</v>
      </c>
      <c r="L56" s="41" t="s">
        <v>68</v>
      </c>
      <c r="M56" s="41" t="s">
        <v>68</v>
      </c>
      <c r="N56" s="111" t="s">
        <v>68</v>
      </c>
      <c r="O56" s="109" t="s">
        <v>68</v>
      </c>
      <c r="P56" s="41" t="s">
        <v>68</v>
      </c>
      <c r="Q56" s="41" t="s">
        <v>68</v>
      </c>
      <c r="R56" s="41" t="s">
        <v>68</v>
      </c>
      <c r="S56" s="41" t="s">
        <v>68</v>
      </c>
      <c r="T56" s="111" t="s">
        <v>68</v>
      </c>
      <c r="U56" s="109" t="s">
        <v>68</v>
      </c>
      <c r="V56" s="41" t="s">
        <v>68</v>
      </c>
      <c r="W56" s="41" t="s">
        <v>68</v>
      </c>
      <c r="X56" s="41" t="s">
        <v>68</v>
      </c>
      <c r="Y56" s="41" t="s">
        <v>68</v>
      </c>
      <c r="Z56" s="41" t="s">
        <v>68</v>
      </c>
      <c r="AA56" s="111" t="s">
        <v>68</v>
      </c>
      <c r="AB56" s="109" t="s">
        <v>68</v>
      </c>
      <c r="AC56" s="41" t="s">
        <v>68</v>
      </c>
      <c r="AD56" s="41" t="s">
        <v>68</v>
      </c>
      <c r="AE56" s="41" t="s">
        <v>68</v>
      </c>
      <c r="AF56" s="41" t="s">
        <v>68</v>
      </c>
      <c r="AG56" s="41" t="s">
        <v>68</v>
      </c>
      <c r="AH56" s="111" t="s">
        <v>68</v>
      </c>
      <c r="AI56" s="126" t="s">
        <v>556</v>
      </c>
      <c r="AJ56" s="111" t="s">
        <v>68</v>
      </c>
    </row>
    <row r="57" spans="1:36" s="112" customFormat="1" ht="18" customHeight="1" x14ac:dyDescent="0.35">
      <c r="A57" s="107" t="s">
        <v>74</v>
      </c>
      <c r="B57" s="108" t="s">
        <v>68</v>
      </c>
      <c r="C57" s="113" t="s">
        <v>68</v>
      </c>
      <c r="D57" s="114" t="s">
        <v>68</v>
      </c>
      <c r="E57" s="114" t="s">
        <v>68</v>
      </c>
      <c r="F57" s="115" t="s">
        <v>68</v>
      </c>
      <c r="G57" s="110" t="s">
        <v>68</v>
      </c>
      <c r="H57" s="116" t="s">
        <v>68</v>
      </c>
      <c r="I57" s="109" t="s">
        <v>126</v>
      </c>
      <c r="J57" s="41" t="s">
        <v>573</v>
      </c>
      <c r="K57" s="41" t="s">
        <v>574</v>
      </c>
      <c r="L57" s="41" t="s">
        <v>220</v>
      </c>
      <c r="M57" s="41" t="s">
        <v>115</v>
      </c>
      <c r="N57" s="111" t="s">
        <v>380</v>
      </c>
      <c r="O57" s="109" t="s">
        <v>134</v>
      </c>
      <c r="P57" s="41" t="s">
        <v>132</v>
      </c>
      <c r="Q57" s="41" t="s">
        <v>575</v>
      </c>
      <c r="R57" s="41" t="s">
        <v>225</v>
      </c>
      <c r="S57" s="41" t="s">
        <v>115</v>
      </c>
      <c r="T57" s="111" t="s">
        <v>58</v>
      </c>
      <c r="U57" s="109" t="s">
        <v>126</v>
      </c>
      <c r="V57" s="41" t="s">
        <v>209</v>
      </c>
      <c r="W57" s="41" t="s">
        <v>353</v>
      </c>
      <c r="X57" s="41" t="s">
        <v>87</v>
      </c>
      <c r="Y57" s="41" t="s">
        <v>87</v>
      </c>
      <c r="Z57" s="41" t="s">
        <v>247</v>
      </c>
      <c r="AA57" s="111" t="s">
        <v>380</v>
      </c>
      <c r="AB57" s="109" t="s">
        <v>126</v>
      </c>
      <c r="AC57" s="41" t="s">
        <v>576</v>
      </c>
      <c r="AD57" s="41" t="s">
        <v>577</v>
      </c>
      <c r="AE57" s="41" t="s">
        <v>225</v>
      </c>
      <c r="AF57" s="41" t="s">
        <v>115</v>
      </c>
      <c r="AG57" s="41" t="s">
        <v>247</v>
      </c>
      <c r="AH57" s="111" t="s">
        <v>380</v>
      </c>
      <c r="AI57" s="148"/>
      <c r="AJ57" s="111"/>
    </row>
    <row r="58" spans="1:36" s="112" customFormat="1" ht="18" customHeight="1" x14ac:dyDescent="0.35">
      <c r="A58" s="107" t="s">
        <v>31</v>
      </c>
      <c r="B58" s="108" t="s">
        <v>2</v>
      </c>
      <c r="C58" s="113" t="s">
        <v>141</v>
      </c>
      <c r="D58" s="114" t="s">
        <v>488</v>
      </c>
      <c r="E58" s="114" t="s">
        <v>489</v>
      </c>
      <c r="F58" s="115" t="s">
        <v>481</v>
      </c>
      <c r="G58" s="115" t="s">
        <v>490</v>
      </c>
      <c r="H58" s="116" t="s">
        <v>48</v>
      </c>
      <c r="I58" s="109" t="s">
        <v>68</v>
      </c>
      <c r="J58" s="41" t="s">
        <v>68</v>
      </c>
      <c r="K58" s="41" t="s">
        <v>68</v>
      </c>
      <c r="L58" s="41" t="s">
        <v>68</v>
      </c>
      <c r="M58" s="41" t="s">
        <v>68</v>
      </c>
      <c r="N58" s="111" t="s">
        <v>68</v>
      </c>
      <c r="O58" s="109" t="s">
        <v>68</v>
      </c>
      <c r="P58" s="41" t="s">
        <v>68</v>
      </c>
      <c r="Q58" s="41" t="s">
        <v>68</v>
      </c>
      <c r="R58" s="41" t="s">
        <v>68</v>
      </c>
      <c r="S58" s="41" t="s">
        <v>68</v>
      </c>
      <c r="T58" s="111" t="s">
        <v>68</v>
      </c>
      <c r="U58" s="109" t="s">
        <v>68</v>
      </c>
      <c r="V58" s="41" t="s">
        <v>68</v>
      </c>
      <c r="W58" s="41" t="s">
        <v>68</v>
      </c>
      <c r="X58" s="41" t="s">
        <v>68</v>
      </c>
      <c r="Y58" s="41" t="s">
        <v>68</v>
      </c>
      <c r="Z58" s="41" t="s">
        <v>68</v>
      </c>
      <c r="AA58" s="111" t="s">
        <v>68</v>
      </c>
      <c r="AB58" s="109" t="s">
        <v>68</v>
      </c>
      <c r="AC58" s="41" t="s">
        <v>68</v>
      </c>
      <c r="AD58" s="41" t="s">
        <v>68</v>
      </c>
      <c r="AE58" s="41" t="s">
        <v>68</v>
      </c>
      <c r="AF58" s="41" t="s">
        <v>68</v>
      </c>
      <c r="AG58" s="41" t="s">
        <v>68</v>
      </c>
      <c r="AH58" s="111" t="s">
        <v>68</v>
      </c>
      <c r="AI58" s="111" t="s">
        <v>552</v>
      </c>
      <c r="AJ58" s="111" t="s">
        <v>68</v>
      </c>
    </row>
    <row r="59" spans="1:36" s="112" customFormat="1" ht="18" customHeight="1" x14ac:dyDescent="0.35">
      <c r="A59" s="107" t="s">
        <v>33</v>
      </c>
      <c r="B59" s="108" t="s">
        <v>2</v>
      </c>
      <c r="C59" s="113" t="s">
        <v>147</v>
      </c>
      <c r="D59" s="114" t="s">
        <v>150</v>
      </c>
      <c r="E59" s="114" t="s">
        <v>151</v>
      </c>
      <c r="F59" s="115" t="s">
        <v>115</v>
      </c>
      <c r="G59" s="115" t="s">
        <v>115</v>
      </c>
      <c r="H59" s="116" t="s">
        <v>51</v>
      </c>
      <c r="I59" s="109" t="s">
        <v>68</v>
      </c>
      <c r="J59" s="41" t="s">
        <v>68</v>
      </c>
      <c r="K59" s="41" t="s">
        <v>68</v>
      </c>
      <c r="L59" s="41" t="s">
        <v>68</v>
      </c>
      <c r="M59" s="41" t="s">
        <v>68</v>
      </c>
      <c r="N59" s="111" t="s">
        <v>68</v>
      </c>
      <c r="O59" s="109" t="s">
        <v>68</v>
      </c>
      <c r="P59" s="41" t="s">
        <v>68</v>
      </c>
      <c r="Q59" s="41" t="s">
        <v>68</v>
      </c>
      <c r="R59" s="41" t="s">
        <v>68</v>
      </c>
      <c r="S59" s="41" t="s">
        <v>68</v>
      </c>
      <c r="T59" s="111" t="s">
        <v>68</v>
      </c>
      <c r="U59" s="109" t="s">
        <v>68</v>
      </c>
      <c r="V59" s="41" t="s">
        <v>68</v>
      </c>
      <c r="W59" s="41" t="s">
        <v>68</v>
      </c>
      <c r="X59" s="41" t="s">
        <v>68</v>
      </c>
      <c r="Y59" s="41" t="s">
        <v>68</v>
      </c>
      <c r="Z59" s="41" t="s">
        <v>68</v>
      </c>
      <c r="AA59" s="111" t="s">
        <v>68</v>
      </c>
      <c r="AB59" s="109" t="s">
        <v>68</v>
      </c>
      <c r="AC59" s="41" t="s">
        <v>68</v>
      </c>
      <c r="AD59" s="41" t="s">
        <v>68</v>
      </c>
      <c r="AE59" s="41" t="s">
        <v>68</v>
      </c>
      <c r="AF59" s="41" t="s">
        <v>68</v>
      </c>
      <c r="AG59" s="41" t="s">
        <v>68</v>
      </c>
      <c r="AH59" s="111" t="s">
        <v>68</v>
      </c>
      <c r="AI59" s="126" t="s">
        <v>565</v>
      </c>
      <c r="AJ59" s="111" t="s">
        <v>68</v>
      </c>
    </row>
    <row r="60" spans="1:36" s="112" customFormat="1" ht="18" customHeight="1" x14ac:dyDescent="0.35">
      <c r="A60" s="107" t="s">
        <v>35</v>
      </c>
      <c r="B60" s="108" t="s">
        <v>2</v>
      </c>
      <c r="C60" s="113" t="s">
        <v>331</v>
      </c>
      <c r="D60" s="114" t="s">
        <v>331</v>
      </c>
      <c r="E60" s="114" t="s">
        <v>331</v>
      </c>
      <c r="F60" s="115" t="s">
        <v>331</v>
      </c>
      <c r="G60" s="115" t="s">
        <v>331</v>
      </c>
      <c r="H60" s="116" t="s">
        <v>331</v>
      </c>
      <c r="I60" s="109" t="s">
        <v>68</v>
      </c>
      <c r="J60" s="41" t="s">
        <v>68</v>
      </c>
      <c r="K60" s="41" t="s">
        <v>68</v>
      </c>
      <c r="L60" s="41" t="s">
        <v>68</v>
      </c>
      <c r="M60" s="41" t="s">
        <v>68</v>
      </c>
      <c r="N60" s="111" t="s">
        <v>68</v>
      </c>
      <c r="O60" s="109" t="s">
        <v>68</v>
      </c>
      <c r="P60" s="41" t="s">
        <v>68</v>
      </c>
      <c r="Q60" s="41" t="s">
        <v>68</v>
      </c>
      <c r="R60" s="41" t="s">
        <v>68</v>
      </c>
      <c r="S60" s="41" t="s">
        <v>68</v>
      </c>
      <c r="T60" s="111" t="s">
        <v>68</v>
      </c>
      <c r="U60" s="109" t="s">
        <v>68</v>
      </c>
      <c r="V60" s="41" t="s">
        <v>68</v>
      </c>
      <c r="W60" s="41" t="s">
        <v>68</v>
      </c>
      <c r="X60" s="41" t="s">
        <v>68</v>
      </c>
      <c r="Y60" s="41" t="s">
        <v>68</v>
      </c>
      <c r="Z60" s="41" t="s">
        <v>68</v>
      </c>
      <c r="AA60" s="111" t="s">
        <v>68</v>
      </c>
      <c r="AB60" s="109" t="s">
        <v>68</v>
      </c>
      <c r="AC60" s="41" t="s">
        <v>68</v>
      </c>
      <c r="AD60" s="41" t="s">
        <v>68</v>
      </c>
      <c r="AE60" s="41" t="s">
        <v>68</v>
      </c>
      <c r="AF60" s="41" t="s">
        <v>68</v>
      </c>
      <c r="AG60" s="41" t="s">
        <v>68</v>
      </c>
      <c r="AH60" s="111" t="s">
        <v>68</v>
      </c>
      <c r="AI60" s="129" t="s">
        <v>566</v>
      </c>
      <c r="AJ60" s="111" t="s">
        <v>68</v>
      </c>
    </row>
    <row r="61" spans="1:36" s="112" customFormat="1" ht="18" customHeight="1" x14ac:dyDescent="0.35">
      <c r="A61" s="107" t="s">
        <v>37</v>
      </c>
      <c r="B61" s="108" t="s">
        <v>2</v>
      </c>
      <c r="C61" s="113" t="s">
        <v>134</v>
      </c>
      <c r="D61" s="114" t="s">
        <v>153</v>
      </c>
      <c r="E61" s="114" t="s">
        <v>154</v>
      </c>
      <c r="F61" s="115" t="s">
        <v>115</v>
      </c>
      <c r="G61" s="115" t="s">
        <v>490</v>
      </c>
      <c r="H61" s="116" t="s">
        <v>47</v>
      </c>
      <c r="I61" s="109" t="s">
        <v>68</v>
      </c>
      <c r="J61" s="41" t="s">
        <v>68</v>
      </c>
      <c r="K61" s="41" t="s">
        <v>68</v>
      </c>
      <c r="L61" s="41" t="s">
        <v>68</v>
      </c>
      <c r="M61" s="41" t="s">
        <v>68</v>
      </c>
      <c r="N61" s="111" t="s">
        <v>68</v>
      </c>
      <c r="O61" s="109" t="s">
        <v>68</v>
      </c>
      <c r="P61" s="41" t="s">
        <v>68</v>
      </c>
      <c r="Q61" s="41" t="s">
        <v>68</v>
      </c>
      <c r="R61" s="41" t="s">
        <v>68</v>
      </c>
      <c r="S61" s="41" t="s">
        <v>68</v>
      </c>
      <c r="T61" s="111" t="s">
        <v>68</v>
      </c>
      <c r="U61" s="109" t="s">
        <v>68</v>
      </c>
      <c r="V61" s="41" t="s">
        <v>68</v>
      </c>
      <c r="W61" s="41" t="s">
        <v>68</v>
      </c>
      <c r="X61" s="41" t="s">
        <v>68</v>
      </c>
      <c r="Y61" s="41" t="s">
        <v>68</v>
      </c>
      <c r="Z61" s="41" t="s">
        <v>68</v>
      </c>
      <c r="AA61" s="111" t="s">
        <v>68</v>
      </c>
      <c r="AB61" s="109" t="s">
        <v>68</v>
      </c>
      <c r="AC61" s="41" t="s">
        <v>68</v>
      </c>
      <c r="AD61" s="41" t="s">
        <v>68</v>
      </c>
      <c r="AE61" s="41" t="s">
        <v>68</v>
      </c>
      <c r="AF61" s="41" t="s">
        <v>68</v>
      </c>
      <c r="AG61" s="41" t="s">
        <v>68</v>
      </c>
      <c r="AH61" s="111" t="s">
        <v>68</v>
      </c>
      <c r="AI61" s="129" t="s">
        <v>552</v>
      </c>
      <c r="AJ61" s="111" t="s">
        <v>68</v>
      </c>
    </row>
    <row r="62" spans="1:36" s="112" customFormat="1" ht="18" customHeight="1" x14ac:dyDescent="0.35">
      <c r="A62" s="107" t="s">
        <v>38</v>
      </c>
      <c r="B62" s="108" t="s">
        <v>2</v>
      </c>
      <c r="C62" s="113" t="s">
        <v>148</v>
      </c>
      <c r="D62" s="114" t="s">
        <v>155</v>
      </c>
      <c r="E62" s="114" t="s">
        <v>156</v>
      </c>
      <c r="F62" s="115" t="s">
        <v>115</v>
      </c>
      <c r="G62" s="115" t="s">
        <v>115</v>
      </c>
      <c r="H62" s="116" t="s">
        <v>48</v>
      </c>
      <c r="I62" s="109" t="s">
        <v>68</v>
      </c>
      <c r="J62" s="41" t="s">
        <v>68</v>
      </c>
      <c r="K62" s="41" t="s">
        <v>68</v>
      </c>
      <c r="L62" s="41" t="s">
        <v>68</v>
      </c>
      <c r="M62" s="41" t="s">
        <v>68</v>
      </c>
      <c r="N62" s="111" t="s">
        <v>68</v>
      </c>
      <c r="O62" s="109" t="s">
        <v>68</v>
      </c>
      <c r="P62" s="41" t="s">
        <v>68</v>
      </c>
      <c r="Q62" s="41" t="s">
        <v>68</v>
      </c>
      <c r="R62" s="41" t="s">
        <v>68</v>
      </c>
      <c r="S62" s="41" t="s">
        <v>68</v>
      </c>
      <c r="T62" s="111" t="s">
        <v>68</v>
      </c>
      <c r="U62" s="109" t="s">
        <v>68</v>
      </c>
      <c r="V62" s="41" t="s">
        <v>68</v>
      </c>
      <c r="W62" s="41" t="s">
        <v>68</v>
      </c>
      <c r="X62" s="41" t="s">
        <v>68</v>
      </c>
      <c r="Y62" s="41" t="s">
        <v>68</v>
      </c>
      <c r="Z62" s="41" t="s">
        <v>68</v>
      </c>
      <c r="AA62" s="111" t="s">
        <v>68</v>
      </c>
      <c r="AB62" s="109" t="s">
        <v>68</v>
      </c>
      <c r="AC62" s="41" t="s">
        <v>68</v>
      </c>
      <c r="AD62" s="41" t="s">
        <v>68</v>
      </c>
      <c r="AE62" s="41" t="s">
        <v>68</v>
      </c>
      <c r="AF62" s="41" t="s">
        <v>68</v>
      </c>
      <c r="AG62" s="41" t="s">
        <v>68</v>
      </c>
      <c r="AH62" s="111" t="s">
        <v>68</v>
      </c>
      <c r="AI62" s="129" t="s">
        <v>552</v>
      </c>
      <c r="AJ62" s="111" t="s">
        <v>68</v>
      </c>
    </row>
    <row r="63" spans="1:36" s="112" customFormat="1" x14ac:dyDescent="0.35">
      <c r="A63" s="107" t="s">
        <v>67</v>
      </c>
      <c r="B63" s="108" t="s">
        <v>2</v>
      </c>
      <c r="C63" s="113" t="s">
        <v>382</v>
      </c>
      <c r="D63" s="114" t="s">
        <v>515</v>
      </c>
      <c r="E63" s="114" t="s">
        <v>516</v>
      </c>
      <c r="F63" s="115" t="s">
        <v>115</v>
      </c>
      <c r="G63" s="115" t="s">
        <v>478</v>
      </c>
      <c r="H63" s="116" t="s">
        <v>50</v>
      </c>
      <c r="I63" s="109" t="s">
        <v>68</v>
      </c>
      <c r="J63" s="41" t="s">
        <v>68</v>
      </c>
      <c r="K63" s="41" t="s">
        <v>68</v>
      </c>
      <c r="L63" s="41" t="s">
        <v>68</v>
      </c>
      <c r="M63" s="41" t="s">
        <v>68</v>
      </c>
      <c r="N63" s="111" t="s">
        <v>68</v>
      </c>
      <c r="O63" s="109" t="s">
        <v>68</v>
      </c>
      <c r="P63" s="41" t="s">
        <v>68</v>
      </c>
      <c r="Q63" s="41" t="s">
        <v>68</v>
      </c>
      <c r="R63" s="41" t="s">
        <v>68</v>
      </c>
      <c r="S63" s="41" t="s">
        <v>68</v>
      </c>
      <c r="T63" s="111" t="s">
        <v>68</v>
      </c>
      <c r="U63" s="109" t="s">
        <v>68</v>
      </c>
      <c r="V63" s="41" t="s">
        <v>68</v>
      </c>
      <c r="W63" s="41" t="s">
        <v>68</v>
      </c>
      <c r="X63" s="41" t="s">
        <v>68</v>
      </c>
      <c r="Y63" s="41" t="s">
        <v>68</v>
      </c>
      <c r="Z63" s="41" t="s">
        <v>68</v>
      </c>
      <c r="AA63" s="111" t="s">
        <v>68</v>
      </c>
      <c r="AB63" s="109" t="s">
        <v>68</v>
      </c>
      <c r="AC63" s="41" t="s">
        <v>68</v>
      </c>
      <c r="AD63" s="41" t="s">
        <v>68</v>
      </c>
      <c r="AE63" s="41" t="s">
        <v>68</v>
      </c>
      <c r="AF63" s="41" t="s">
        <v>68</v>
      </c>
      <c r="AG63" s="41" t="s">
        <v>68</v>
      </c>
      <c r="AH63" s="111" t="s">
        <v>68</v>
      </c>
      <c r="AI63" s="126" t="s">
        <v>569</v>
      </c>
      <c r="AJ63" s="111" t="s">
        <v>68</v>
      </c>
    </row>
  </sheetData>
  <mergeCells count="8">
    <mergeCell ref="AB1:AH1"/>
    <mergeCell ref="AJ1:AJ2"/>
    <mergeCell ref="O1:T1"/>
    <mergeCell ref="A1:A2"/>
    <mergeCell ref="B1:B2"/>
    <mergeCell ref="C1:H1"/>
    <mergeCell ref="I1:N1"/>
    <mergeCell ref="U1:AA1"/>
  </mergeCells>
  <phoneticPr fontId="2" type="noConversion"/>
  <conditionalFormatting sqref="A25:A53">
    <cfRule type="containsText" dxfId="4" priority="1" operator="containsText" text="ok">
      <formula>NOT(ISERROR(SEARCH("ok",A25)))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B20B-C9CA-4B1C-A4BF-B42A5B8D5257}">
  <dimension ref="A1:Y42"/>
  <sheetViews>
    <sheetView zoomScale="91" zoomScaleNormal="91" workbookViewId="0">
      <selection activeCell="K12" sqref="K12"/>
    </sheetView>
  </sheetViews>
  <sheetFormatPr baseColWidth="10" defaultRowHeight="14.5" x14ac:dyDescent="0.35"/>
  <cols>
    <col min="1" max="1" width="10.90625" style="206"/>
    <col min="2" max="2" width="5.26953125" style="206" bestFit="1" customWidth="1"/>
    <col min="3" max="10" width="10.90625" style="209"/>
  </cols>
  <sheetData>
    <row r="1" spans="1:25" x14ac:dyDescent="0.35">
      <c r="A1" s="194" t="s">
        <v>0</v>
      </c>
      <c r="B1" s="195" t="s">
        <v>9</v>
      </c>
      <c r="C1" s="207" t="s">
        <v>585</v>
      </c>
      <c r="D1" s="207" t="s">
        <v>586</v>
      </c>
      <c r="E1" s="207" t="s">
        <v>587</v>
      </c>
      <c r="F1" s="207" t="s">
        <v>588</v>
      </c>
      <c r="G1" s="207" t="s">
        <v>589</v>
      </c>
      <c r="H1" s="207" t="s">
        <v>590</v>
      </c>
      <c r="I1" s="207" t="s">
        <v>660</v>
      </c>
      <c r="J1" s="207" t="s">
        <v>591</v>
      </c>
      <c r="K1" s="192" t="s">
        <v>594</v>
      </c>
      <c r="L1" s="192" t="s">
        <v>595</v>
      </c>
      <c r="M1" s="192" t="s">
        <v>596</v>
      </c>
      <c r="N1" s="192" t="s">
        <v>597</v>
      </c>
      <c r="O1" s="192" t="s">
        <v>598</v>
      </c>
      <c r="P1" s="192" t="s">
        <v>599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341</v>
      </c>
      <c r="V1" s="1" t="s">
        <v>343</v>
      </c>
      <c r="W1" s="1" t="s">
        <v>345</v>
      </c>
      <c r="X1" s="1" t="s">
        <v>348</v>
      </c>
      <c r="Y1" s="1" t="s">
        <v>349</v>
      </c>
    </row>
    <row r="2" spans="1:25" x14ac:dyDescent="0.35">
      <c r="A2" s="198" t="s">
        <v>8</v>
      </c>
      <c r="B2" s="202" t="s">
        <v>2</v>
      </c>
      <c r="C2" s="207">
        <v>655.5</v>
      </c>
      <c r="D2" s="207">
        <v>709</v>
      </c>
      <c r="E2" s="208" t="s">
        <v>600</v>
      </c>
      <c r="F2" s="208" t="s">
        <v>601</v>
      </c>
      <c r="G2" s="207">
        <v>658.5</v>
      </c>
      <c r="H2" s="207">
        <v>707</v>
      </c>
      <c r="I2" s="207">
        <v>2.4900000000000002</v>
      </c>
      <c r="J2" s="208" t="s">
        <v>602</v>
      </c>
      <c r="K2" s="197">
        <f>D2-C2</f>
        <v>53.5</v>
      </c>
      <c r="L2" s="193">
        <f>F2-E2</f>
        <v>-32.299999999999997</v>
      </c>
      <c r="M2" s="193">
        <f>H2-G2</f>
        <v>48.5</v>
      </c>
      <c r="N2" s="193">
        <f>J2-I2</f>
        <v>-36.99</v>
      </c>
      <c r="O2" s="193">
        <f>K2-M2</f>
        <v>5</v>
      </c>
      <c r="P2" s="193">
        <f>L2-N2</f>
        <v>4.6900000000000048</v>
      </c>
      <c r="Q2" s="8">
        <v>122</v>
      </c>
      <c r="R2" s="8">
        <v>116</v>
      </c>
      <c r="S2" s="8">
        <v>124</v>
      </c>
      <c r="T2" s="8">
        <v>120</v>
      </c>
      <c r="U2" s="8">
        <v>105</v>
      </c>
      <c r="V2" s="8">
        <v>105</v>
      </c>
      <c r="W2" s="8">
        <v>103</v>
      </c>
      <c r="X2" s="8">
        <v>104</v>
      </c>
      <c r="Y2" s="8">
        <v>103</v>
      </c>
    </row>
    <row r="3" spans="1:25" x14ac:dyDescent="0.35">
      <c r="A3" s="198" t="s">
        <v>69</v>
      </c>
      <c r="B3" s="202" t="s">
        <v>2</v>
      </c>
      <c r="C3" s="207">
        <v>308</v>
      </c>
      <c r="D3" s="207">
        <v>428</v>
      </c>
      <c r="E3" s="207">
        <v>16.5</v>
      </c>
      <c r="F3" s="208" t="s">
        <v>603</v>
      </c>
      <c r="G3" s="207">
        <v>293.5</v>
      </c>
      <c r="H3" s="207">
        <v>416</v>
      </c>
      <c r="I3" s="207">
        <v>19.25</v>
      </c>
      <c r="J3" s="208" t="s">
        <v>604</v>
      </c>
      <c r="K3" s="197">
        <f t="shared" ref="K3:K9" si="0">D3-C3</f>
        <v>120</v>
      </c>
      <c r="L3" s="193">
        <f t="shared" ref="L3:L9" si="1">F3-E3</f>
        <v>-67</v>
      </c>
      <c r="M3" s="193">
        <f t="shared" ref="M3:M9" si="2">H3-G3</f>
        <v>122.5</v>
      </c>
      <c r="N3" s="193">
        <f t="shared" ref="N3:N9" si="3">J3-I3</f>
        <v>-66.45</v>
      </c>
      <c r="O3" s="193">
        <f t="shared" ref="O3:O9" si="4">K3-M3</f>
        <v>-2.5</v>
      </c>
      <c r="P3" s="193">
        <f t="shared" ref="P3:P9" si="5">L3-N3</f>
        <v>-0.54999999999999716</v>
      </c>
      <c r="Q3" s="5">
        <v>86</v>
      </c>
      <c r="R3" s="5">
        <v>82</v>
      </c>
      <c r="S3" s="5">
        <v>94</v>
      </c>
      <c r="T3" s="5">
        <v>86</v>
      </c>
      <c r="U3" s="5">
        <v>100</v>
      </c>
      <c r="V3" s="5">
        <v>79</v>
      </c>
      <c r="W3" s="5">
        <v>91</v>
      </c>
      <c r="X3" s="5">
        <v>69</v>
      </c>
      <c r="Y3" s="5">
        <v>88</v>
      </c>
    </row>
    <row r="4" spans="1:25" x14ac:dyDescent="0.35">
      <c r="A4" s="198" t="s">
        <v>29</v>
      </c>
      <c r="B4" s="202" t="s">
        <v>2</v>
      </c>
      <c r="C4" s="207">
        <v>330</v>
      </c>
      <c r="D4" s="207">
        <v>379</v>
      </c>
      <c r="E4" s="207">
        <v>20.9</v>
      </c>
      <c r="F4" s="208" t="s">
        <v>605</v>
      </c>
      <c r="G4" s="207">
        <v>331</v>
      </c>
      <c r="H4" s="207">
        <v>380</v>
      </c>
      <c r="I4" s="207">
        <v>27.8</v>
      </c>
      <c r="J4" s="208" t="s">
        <v>606</v>
      </c>
      <c r="K4" s="197">
        <f t="shared" si="0"/>
        <v>49</v>
      </c>
      <c r="L4" s="193">
        <f t="shared" si="1"/>
        <v>-28.7</v>
      </c>
      <c r="M4" s="193">
        <f t="shared" si="2"/>
        <v>49</v>
      </c>
      <c r="N4" s="193">
        <f t="shared" si="3"/>
        <v>-28.400000000000002</v>
      </c>
      <c r="O4" s="193">
        <f t="shared" si="4"/>
        <v>0</v>
      </c>
      <c r="P4" s="193">
        <f t="shared" si="5"/>
        <v>-0.29999999999999716</v>
      </c>
      <c r="Q4" s="5">
        <v>67</v>
      </c>
      <c r="R4" s="5">
        <v>71</v>
      </c>
      <c r="S4" s="5">
        <v>86</v>
      </c>
      <c r="T4" s="5">
        <v>68</v>
      </c>
      <c r="U4" s="5">
        <v>64</v>
      </c>
      <c r="V4" s="5">
        <v>102</v>
      </c>
      <c r="W4" s="5">
        <v>85</v>
      </c>
      <c r="X4" s="5">
        <v>104</v>
      </c>
      <c r="Y4" s="5">
        <v>85</v>
      </c>
    </row>
    <row r="5" spans="1:25" x14ac:dyDescent="0.35">
      <c r="A5" s="198" t="s">
        <v>12</v>
      </c>
      <c r="B5" s="202" t="s">
        <v>2</v>
      </c>
      <c r="C5" s="207">
        <v>340</v>
      </c>
      <c r="D5" s="207">
        <v>401</v>
      </c>
      <c r="E5" s="208" t="s">
        <v>384</v>
      </c>
      <c r="F5" s="208" t="s">
        <v>592</v>
      </c>
      <c r="G5" s="207">
        <v>355.5</v>
      </c>
      <c r="H5" s="207">
        <v>407</v>
      </c>
      <c r="I5" s="208" t="s">
        <v>607</v>
      </c>
      <c r="J5" s="208" t="s">
        <v>608</v>
      </c>
      <c r="K5" s="197">
        <f t="shared" si="0"/>
        <v>61</v>
      </c>
      <c r="L5" s="193">
        <f t="shared" si="1"/>
        <v>-31</v>
      </c>
      <c r="M5" s="193">
        <f t="shared" si="2"/>
        <v>51.5</v>
      </c>
      <c r="N5" s="193">
        <f t="shared" si="3"/>
        <v>-37.299999999999997</v>
      </c>
      <c r="O5" s="193">
        <f t="shared" si="4"/>
        <v>9.5</v>
      </c>
      <c r="P5" s="193">
        <f t="shared" si="5"/>
        <v>6.2999999999999972</v>
      </c>
      <c r="Q5" s="8">
        <v>105</v>
      </c>
      <c r="R5" s="8">
        <v>108</v>
      </c>
      <c r="S5" s="8">
        <v>116</v>
      </c>
      <c r="T5" s="8">
        <v>91</v>
      </c>
      <c r="U5" s="8">
        <v>94</v>
      </c>
      <c r="V5" s="8">
        <v>124</v>
      </c>
      <c r="W5" s="8">
        <v>112</v>
      </c>
      <c r="X5" s="8">
        <v>110</v>
      </c>
      <c r="Y5" s="8">
        <v>103</v>
      </c>
    </row>
    <row r="6" spans="1:25" x14ac:dyDescent="0.35">
      <c r="A6" s="198" t="s">
        <v>14</v>
      </c>
      <c r="B6" s="202" t="s">
        <v>2</v>
      </c>
      <c r="C6" s="207">
        <v>316</v>
      </c>
      <c r="D6" s="207">
        <v>355</v>
      </c>
      <c r="E6" s="207">
        <v>1</v>
      </c>
      <c r="F6" s="208" t="s">
        <v>609</v>
      </c>
      <c r="G6" s="207">
        <v>322</v>
      </c>
      <c r="H6" s="207">
        <v>350</v>
      </c>
      <c r="I6" s="208" t="s">
        <v>610</v>
      </c>
      <c r="J6" s="208" t="s">
        <v>611</v>
      </c>
      <c r="K6" s="197">
        <f t="shared" si="0"/>
        <v>39</v>
      </c>
      <c r="L6" s="193">
        <f t="shared" si="1"/>
        <v>-36.200000000000003</v>
      </c>
      <c r="M6" s="193">
        <f t="shared" si="2"/>
        <v>28</v>
      </c>
      <c r="N6" s="193">
        <f t="shared" si="3"/>
        <v>-28.400000000000002</v>
      </c>
      <c r="O6" s="193">
        <f t="shared" si="4"/>
        <v>11</v>
      </c>
      <c r="P6" s="193">
        <f>L6-N6</f>
        <v>-7.8000000000000007</v>
      </c>
      <c r="Q6" s="8">
        <v>106</v>
      </c>
      <c r="R6" s="8">
        <v>106</v>
      </c>
      <c r="S6" s="8">
        <v>110</v>
      </c>
      <c r="T6" s="8">
        <v>100</v>
      </c>
      <c r="U6" s="8">
        <v>102</v>
      </c>
      <c r="V6" s="8">
        <v>99</v>
      </c>
      <c r="W6" s="8">
        <v>88</v>
      </c>
      <c r="X6" s="8">
        <v>96</v>
      </c>
      <c r="Y6" s="8">
        <v>88</v>
      </c>
    </row>
    <row r="7" spans="1:25" x14ac:dyDescent="0.35">
      <c r="A7" s="198" t="s">
        <v>39</v>
      </c>
      <c r="B7" s="202" t="s">
        <v>2</v>
      </c>
      <c r="C7" s="207">
        <v>604</v>
      </c>
      <c r="D7" s="207">
        <v>848</v>
      </c>
      <c r="E7" s="207">
        <v>6.6</v>
      </c>
      <c r="F7" s="208">
        <v>-45</v>
      </c>
      <c r="G7" s="207">
        <v>646</v>
      </c>
      <c r="H7" s="207">
        <v>807</v>
      </c>
      <c r="I7" s="207">
        <v>8.4</v>
      </c>
      <c r="J7" s="208" t="s">
        <v>612</v>
      </c>
      <c r="K7" s="197">
        <f t="shared" si="0"/>
        <v>244</v>
      </c>
      <c r="L7" s="193">
        <f t="shared" si="1"/>
        <v>-51.6</v>
      </c>
      <c r="M7" s="193">
        <f t="shared" si="2"/>
        <v>161</v>
      </c>
      <c r="N7" s="193">
        <f t="shared" si="3"/>
        <v>-62.8</v>
      </c>
      <c r="O7" s="193">
        <f t="shared" si="4"/>
        <v>83</v>
      </c>
      <c r="P7" s="193">
        <f t="shared" si="5"/>
        <v>11.199999999999996</v>
      </c>
      <c r="Q7" s="5">
        <v>94</v>
      </c>
      <c r="R7" s="5">
        <v>116</v>
      </c>
      <c r="S7" s="5">
        <v>94</v>
      </c>
      <c r="T7" s="5">
        <v>71</v>
      </c>
      <c r="U7" s="5">
        <v>94</v>
      </c>
      <c r="V7" s="5">
        <v>92</v>
      </c>
      <c r="W7" s="5">
        <v>94</v>
      </c>
      <c r="X7" s="5">
        <v>86</v>
      </c>
      <c r="Y7" s="5">
        <v>97</v>
      </c>
    </row>
    <row r="8" spans="1:25" x14ac:dyDescent="0.35">
      <c r="A8" s="198" t="s">
        <v>40</v>
      </c>
      <c r="B8" s="202" t="s">
        <v>2</v>
      </c>
      <c r="C8" s="207">
        <v>642</v>
      </c>
      <c r="D8" s="207">
        <v>707</v>
      </c>
      <c r="E8" s="207">
        <v>4</v>
      </c>
      <c r="F8" s="208" t="s">
        <v>613</v>
      </c>
      <c r="G8" s="207">
        <v>592</v>
      </c>
      <c r="H8" s="207">
        <v>723</v>
      </c>
      <c r="I8" s="207">
        <v>0.4</v>
      </c>
      <c r="J8" s="208" t="s">
        <v>614</v>
      </c>
      <c r="K8" s="197">
        <f t="shared" si="0"/>
        <v>65</v>
      </c>
      <c r="L8" s="193">
        <f t="shared" si="1"/>
        <v>-54.7</v>
      </c>
      <c r="M8" s="193">
        <f t="shared" si="2"/>
        <v>131</v>
      </c>
      <c r="N8" s="193">
        <f t="shared" si="3"/>
        <v>-68.100000000000009</v>
      </c>
      <c r="O8" s="193">
        <f t="shared" si="4"/>
        <v>-66</v>
      </c>
      <c r="P8" s="193">
        <f t="shared" si="5"/>
        <v>13.400000000000006</v>
      </c>
      <c r="Q8" s="5">
        <v>94</v>
      </c>
      <c r="R8" s="5">
        <v>116</v>
      </c>
      <c r="S8" s="5">
        <v>94</v>
      </c>
      <c r="T8" s="5">
        <v>71</v>
      </c>
      <c r="U8" s="5">
        <v>94</v>
      </c>
      <c r="V8" s="5">
        <v>92</v>
      </c>
      <c r="W8" s="5">
        <v>94</v>
      </c>
      <c r="X8" s="5">
        <v>86</v>
      </c>
      <c r="Y8" s="5">
        <v>97</v>
      </c>
    </row>
    <row r="9" spans="1:25" x14ac:dyDescent="0.35">
      <c r="A9" s="198" t="s">
        <v>63</v>
      </c>
      <c r="B9" s="202" t="s">
        <v>2</v>
      </c>
      <c r="C9" s="207">
        <v>618.5</v>
      </c>
      <c r="D9" s="207">
        <v>757.5</v>
      </c>
      <c r="E9" s="208" t="s">
        <v>615</v>
      </c>
      <c r="F9" s="208" t="s">
        <v>616</v>
      </c>
      <c r="G9" s="207">
        <v>574</v>
      </c>
      <c r="H9" s="207">
        <v>771</v>
      </c>
      <c r="I9" s="207">
        <v>0.5</v>
      </c>
      <c r="J9" s="208" t="s">
        <v>617</v>
      </c>
      <c r="K9" s="197">
        <f t="shared" si="0"/>
        <v>139</v>
      </c>
      <c r="L9" s="193">
        <f t="shared" si="1"/>
        <v>-62.8</v>
      </c>
      <c r="M9" s="193">
        <f t="shared" si="2"/>
        <v>197</v>
      </c>
      <c r="N9" s="193">
        <f t="shared" si="3"/>
        <v>-71.7</v>
      </c>
      <c r="O9" s="193">
        <f t="shared" si="4"/>
        <v>-58</v>
      </c>
      <c r="P9" s="193">
        <f t="shared" si="5"/>
        <v>8.9000000000000057</v>
      </c>
      <c r="Q9" s="5">
        <v>97</v>
      </c>
      <c r="R9" s="5">
        <v>112</v>
      </c>
      <c r="S9" s="5">
        <v>82</v>
      </c>
      <c r="T9" s="5">
        <v>85</v>
      </c>
      <c r="U9" s="5">
        <v>97</v>
      </c>
      <c r="V9" s="5">
        <v>124</v>
      </c>
      <c r="W9" s="5">
        <v>118</v>
      </c>
      <c r="X9" s="5">
        <v>123</v>
      </c>
      <c r="Y9" s="5">
        <v>118</v>
      </c>
    </row>
    <row r="10" spans="1:25" x14ac:dyDescent="0.35">
      <c r="A10" s="198" t="s">
        <v>65</v>
      </c>
      <c r="B10" s="202" t="s">
        <v>2</v>
      </c>
      <c r="C10" s="207">
        <v>298</v>
      </c>
      <c r="D10" s="207">
        <v>473</v>
      </c>
      <c r="E10" s="207">
        <v>2.2999999999999998</v>
      </c>
      <c r="F10" s="208" t="s">
        <v>653</v>
      </c>
      <c r="G10" s="207">
        <v>313.5</v>
      </c>
      <c r="H10" s="207">
        <v>488.5</v>
      </c>
      <c r="I10" s="207">
        <v>11.3</v>
      </c>
      <c r="J10" s="208" t="s">
        <v>652</v>
      </c>
      <c r="K10" s="197">
        <f t="shared" ref="K10:K17" si="6">D10-C10</f>
        <v>175</v>
      </c>
      <c r="L10" s="193">
        <f t="shared" ref="L10:L17" si="7">F10-E10</f>
        <v>-88.2</v>
      </c>
      <c r="M10" s="193">
        <f t="shared" ref="M10:M17" si="8">H10-G10</f>
        <v>175</v>
      </c>
      <c r="N10" s="193">
        <f t="shared" ref="N10:N17" si="9">J10-I10</f>
        <v>-116.1</v>
      </c>
      <c r="O10" s="193">
        <f>K10-M10</f>
        <v>0</v>
      </c>
      <c r="P10" s="193">
        <f t="shared" ref="P10:P17" si="10">L10-N10</f>
        <v>27.899999999999991</v>
      </c>
      <c r="Q10" s="8">
        <v>73</v>
      </c>
      <c r="R10" s="8">
        <v>84</v>
      </c>
      <c r="S10" s="8">
        <v>68</v>
      </c>
      <c r="T10" s="8">
        <v>86</v>
      </c>
      <c r="U10" s="8">
        <v>69</v>
      </c>
      <c r="V10" s="8">
        <v>111</v>
      </c>
      <c r="W10" s="8">
        <v>91</v>
      </c>
      <c r="X10" s="8">
        <v>107</v>
      </c>
      <c r="Y10" s="8">
        <v>103</v>
      </c>
    </row>
    <row r="11" spans="1:25" x14ac:dyDescent="0.35">
      <c r="A11" s="198" t="s">
        <v>26</v>
      </c>
      <c r="B11" s="202" t="s">
        <v>2</v>
      </c>
      <c r="C11" s="207">
        <v>298</v>
      </c>
      <c r="D11" s="207">
        <v>397</v>
      </c>
      <c r="E11" s="208" t="s">
        <v>654</v>
      </c>
      <c r="F11" s="208" t="s">
        <v>655</v>
      </c>
      <c r="G11" s="207">
        <v>313.5</v>
      </c>
      <c r="H11" s="207">
        <v>413.5</v>
      </c>
      <c r="I11" s="208" t="s">
        <v>656</v>
      </c>
      <c r="J11" s="208" t="s">
        <v>657</v>
      </c>
      <c r="K11" s="197">
        <f t="shared" si="6"/>
        <v>99</v>
      </c>
      <c r="L11" s="193">
        <f t="shared" si="7"/>
        <v>-48.6</v>
      </c>
      <c r="M11" s="193">
        <f t="shared" si="8"/>
        <v>100</v>
      </c>
      <c r="N11" s="193">
        <f t="shared" si="9"/>
        <v>-49</v>
      </c>
      <c r="O11" s="193">
        <f t="shared" ref="O11:O17" si="11">K11-M11</f>
        <v>-1</v>
      </c>
      <c r="P11" s="193">
        <f t="shared" si="10"/>
        <v>0.39999999999999858</v>
      </c>
      <c r="Q11" s="8">
        <v>93</v>
      </c>
      <c r="R11" s="8">
        <v>84</v>
      </c>
      <c r="S11" s="8">
        <v>98</v>
      </c>
      <c r="T11" s="8">
        <v>88</v>
      </c>
      <c r="U11" s="8">
        <v>89</v>
      </c>
      <c r="V11" s="8">
        <v>94</v>
      </c>
      <c r="W11" s="53">
        <v>100</v>
      </c>
      <c r="X11" s="53">
        <v>101</v>
      </c>
      <c r="Y11" s="53">
        <v>100</v>
      </c>
    </row>
    <row r="12" spans="1:25" x14ac:dyDescent="0.35">
      <c r="A12" s="198" t="s">
        <v>351</v>
      </c>
      <c r="B12" s="202" t="s">
        <v>3</v>
      </c>
      <c r="C12" s="207">
        <v>305.5</v>
      </c>
      <c r="D12" s="207">
        <v>351</v>
      </c>
      <c r="E12" s="207">
        <v>2.8</v>
      </c>
      <c r="F12" s="208" t="s">
        <v>618</v>
      </c>
      <c r="G12" s="207">
        <v>310</v>
      </c>
      <c r="H12" s="207">
        <v>354</v>
      </c>
      <c r="I12" s="207">
        <v>3.1</v>
      </c>
      <c r="J12" s="208" t="s">
        <v>619</v>
      </c>
      <c r="K12" s="197">
        <f t="shared" si="6"/>
        <v>45.5</v>
      </c>
      <c r="L12" s="193">
        <f t="shared" si="7"/>
        <v>-78.2</v>
      </c>
      <c r="M12" s="193">
        <f t="shared" si="8"/>
        <v>44</v>
      </c>
      <c r="N12" s="193">
        <f t="shared" si="9"/>
        <v>-84.6</v>
      </c>
      <c r="O12" s="193">
        <f t="shared" si="11"/>
        <v>1.5</v>
      </c>
      <c r="P12" s="193">
        <f t="shared" si="10"/>
        <v>6.3999999999999915</v>
      </c>
      <c r="Q12" s="8">
        <v>100</v>
      </c>
      <c r="R12" s="8">
        <v>89</v>
      </c>
      <c r="S12" s="8">
        <v>105</v>
      </c>
      <c r="T12" s="8">
        <v>94</v>
      </c>
      <c r="U12" s="8">
        <v>108</v>
      </c>
      <c r="V12" s="8" t="s">
        <v>68</v>
      </c>
      <c r="W12" s="8" t="s">
        <v>68</v>
      </c>
      <c r="X12" s="8" t="s">
        <v>68</v>
      </c>
      <c r="Y12" s="8" t="s">
        <v>68</v>
      </c>
    </row>
    <row r="13" spans="1:25" x14ac:dyDescent="0.35">
      <c r="A13" s="198" t="s">
        <v>13</v>
      </c>
      <c r="B13" s="202" t="s">
        <v>3</v>
      </c>
      <c r="C13" s="207">
        <v>318.5</v>
      </c>
      <c r="D13" s="207">
        <v>397.5</v>
      </c>
      <c r="E13" s="208" t="s">
        <v>620</v>
      </c>
      <c r="F13" s="208" t="s">
        <v>621</v>
      </c>
      <c r="G13" s="207">
        <v>319.5</v>
      </c>
      <c r="H13" s="207">
        <v>405.5</v>
      </c>
      <c r="I13" s="207">
        <v>3</v>
      </c>
      <c r="J13" s="208" t="s">
        <v>622</v>
      </c>
      <c r="K13" s="197">
        <f t="shared" si="6"/>
        <v>79</v>
      </c>
      <c r="L13" s="193">
        <f t="shared" si="7"/>
        <v>-79.599999999999994</v>
      </c>
      <c r="M13" s="193">
        <f t="shared" si="8"/>
        <v>86</v>
      </c>
      <c r="N13" s="193">
        <f t="shared" si="9"/>
        <v>-99.6</v>
      </c>
      <c r="O13" s="193">
        <f t="shared" si="11"/>
        <v>-7</v>
      </c>
      <c r="P13" s="193">
        <f t="shared" si="10"/>
        <v>20</v>
      </c>
      <c r="Q13" s="8">
        <v>105</v>
      </c>
      <c r="R13" s="8">
        <v>108</v>
      </c>
      <c r="S13" s="8">
        <v>116</v>
      </c>
      <c r="T13" s="8">
        <v>91</v>
      </c>
      <c r="U13" s="8">
        <v>94</v>
      </c>
      <c r="V13" s="8">
        <v>124</v>
      </c>
      <c r="W13" s="8">
        <v>112</v>
      </c>
      <c r="X13" s="8">
        <v>110</v>
      </c>
      <c r="Y13" s="8">
        <v>103</v>
      </c>
    </row>
    <row r="14" spans="1:25" x14ac:dyDescent="0.35">
      <c r="A14" s="198" t="s">
        <v>73</v>
      </c>
      <c r="B14" s="202" t="s">
        <v>3</v>
      </c>
      <c r="C14" s="207">
        <v>335</v>
      </c>
      <c r="D14" s="207">
        <v>405</v>
      </c>
      <c r="E14" s="207">
        <v>7.7</v>
      </c>
      <c r="F14" s="208" t="s">
        <v>623</v>
      </c>
      <c r="G14" s="207">
        <v>322</v>
      </c>
      <c r="H14" s="207">
        <v>419</v>
      </c>
      <c r="I14" s="207">
        <v>13.3</v>
      </c>
      <c r="J14" s="208" t="s">
        <v>593</v>
      </c>
      <c r="K14" s="197">
        <f t="shared" si="6"/>
        <v>70</v>
      </c>
      <c r="L14" s="193">
        <f t="shared" si="7"/>
        <v>-47.400000000000006</v>
      </c>
      <c r="M14" s="193">
        <f t="shared" si="8"/>
        <v>97</v>
      </c>
      <c r="N14" s="193">
        <f t="shared" si="9"/>
        <v>-68.3</v>
      </c>
      <c r="O14" s="193">
        <f t="shared" si="11"/>
        <v>-27</v>
      </c>
      <c r="P14" s="193">
        <f t="shared" si="10"/>
        <v>20.899999999999991</v>
      </c>
      <c r="Q14" s="5">
        <v>115</v>
      </c>
      <c r="R14" s="5">
        <v>124</v>
      </c>
      <c r="S14" s="5">
        <v>106</v>
      </c>
      <c r="T14" s="5">
        <v>114</v>
      </c>
      <c r="U14" s="5">
        <v>102</v>
      </c>
      <c r="V14" s="5">
        <v>114</v>
      </c>
      <c r="W14" s="5">
        <v>106</v>
      </c>
      <c r="X14" s="5">
        <v>119</v>
      </c>
      <c r="Y14" s="5">
        <v>106</v>
      </c>
    </row>
    <row r="15" spans="1:25" x14ac:dyDescent="0.35">
      <c r="A15" s="198" t="s">
        <v>17</v>
      </c>
      <c r="B15" s="202" t="s">
        <v>3</v>
      </c>
      <c r="C15" s="207" t="s">
        <v>68</v>
      </c>
      <c r="D15" s="207" t="s">
        <v>68</v>
      </c>
      <c r="E15" s="207">
        <v>0</v>
      </c>
      <c r="F15" s="207">
        <v>0</v>
      </c>
      <c r="G15" s="207" t="s">
        <v>68</v>
      </c>
      <c r="H15" s="207" t="s">
        <v>68</v>
      </c>
      <c r="I15" s="207">
        <v>0</v>
      </c>
      <c r="J15" s="207">
        <v>0</v>
      </c>
      <c r="K15" s="197" t="s">
        <v>68</v>
      </c>
      <c r="L15" s="193">
        <f t="shared" si="7"/>
        <v>0</v>
      </c>
      <c r="M15" s="193" t="s">
        <v>68</v>
      </c>
      <c r="N15" s="193">
        <f t="shared" si="9"/>
        <v>0</v>
      </c>
      <c r="O15" s="193" t="s">
        <v>68</v>
      </c>
      <c r="P15" s="193">
        <f t="shared" si="10"/>
        <v>0</v>
      </c>
      <c r="Q15" s="8">
        <v>103</v>
      </c>
      <c r="R15" s="8">
        <v>104</v>
      </c>
      <c r="S15" s="8">
        <v>106</v>
      </c>
      <c r="T15" s="8">
        <v>103</v>
      </c>
      <c r="U15" s="8">
        <v>94</v>
      </c>
      <c r="V15" s="8">
        <v>102</v>
      </c>
      <c r="W15" s="8">
        <v>103</v>
      </c>
      <c r="X15" s="8">
        <v>98</v>
      </c>
      <c r="Y15" s="8">
        <v>97</v>
      </c>
    </row>
    <row r="16" spans="1:25" x14ac:dyDescent="0.35">
      <c r="A16" s="198" t="s">
        <v>82</v>
      </c>
      <c r="B16" s="202" t="s">
        <v>3</v>
      </c>
      <c r="C16" s="207">
        <v>350.5</v>
      </c>
      <c r="D16" s="207">
        <v>415</v>
      </c>
      <c r="E16" s="207">
        <v>21.5</v>
      </c>
      <c r="F16" s="208" t="s">
        <v>624</v>
      </c>
      <c r="G16" s="207">
        <v>281</v>
      </c>
      <c r="H16" s="207">
        <v>349.5</v>
      </c>
      <c r="I16" s="207">
        <v>9.6</v>
      </c>
      <c r="J16" s="208" t="s">
        <v>625</v>
      </c>
      <c r="K16" s="197">
        <f t="shared" si="6"/>
        <v>64.5</v>
      </c>
      <c r="L16" s="193">
        <f t="shared" si="7"/>
        <v>-27</v>
      </c>
      <c r="M16" s="193">
        <f t="shared" si="8"/>
        <v>68.5</v>
      </c>
      <c r="N16" s="193">
        <f t="shared" si="9"/>
        <v>-20.100000000000001</v>
      </c>
      <c r="O16" s="193">
        <f t="shared" si="11"/>
        <v>-4</v>
      </c>
      <c r="P16" s="193">
        <f t="shared" si="10"/>
        <v>-6.8999999999999986</v>
      </c>
      <c r="Q16" s="5">
        <v>94</v>
      </c>
      <c r="R16" s="5">
        <v>91</v>
      </c>
      <c r="S16" s="5">
        <v>98</v>
      </c>
      <c r="T16" s="5">
        <v>88</v>
      </c>
      <c r="U16" s="5">
        <v>94</v>
      </c>
      <c r="V16" s="5">
        <v>114</v>
      </c>
      <c r="W16" s="5">
        <v>112</v>
      </c>
      <c r="X16" s="5">
        <v>110</v>
      </c>
      <c r="Y16" s="5">
        <v>106</v>
      </c>
    </row>
    <row r="17" spans="1:25" x14ac:dyDescent="0.35">
      <c r="A17" s="198" t="s">
        <v>84</v>
      </c>
      <c r="B17" s="202" t="s">
        <v>3</v>
      </c>
      <c r="C17" s="207">
        <v>338</v>
      </c>
      <c r="D17" s="207">
        <v>445</v>
      </c>
      <c r="E17" s="207">
        <v>1.4</v>
      </c>
      <c r="F17" s="208" t="s">
        <v>626</v>
      </c>
      <c r="G17" s="207">
        <v>374.5</v>
      </c>
      <c r="H17" s="207">
        <v>505</v>
      </c>
      <c r="I17" s="208" t="s">
        <v>627</v>
      </c>
      <c r="J17" s="208" t="s">
        <v>628</v>
      </c>
      <c r="K17" s="197">
        <f t="shared" si="6"/>
        <v>107</v>
      </c>
      <c r="L17" s="193">
        <f t="shared" si="7"/>
        <v>-24.7</v>
      </c>
      <c r="M17" s="193">
        <f t="shared" si="8"/>
        <v>130.5</v>
      </c>
      <c r="N17" s="193">
        <f t="shared" si="9"/>
        <v>-24.9</v>
      </c>
      <c r="O17" s="193">
        <f t="shared" si="11"/>
        <v>-23.5</v>
      </c>
      <c r="P17" s="193">
        <f t="shared" si="10"/>
        <v>0.19999999999999929</v>
      </c>
      <c r="Q17" s="8">
        <v>104</v>
      </c>
      <c r="R17" s="8">
        <v>110</v>
      </c>
      <c r="S17" s="8">
        <v>106</v>
      </c>
      <c r="T17" s="8">
        <v>91</v>
      </c>
      <c r="U17" s="8">
        <v>102</v>
      </c>
      <c r="V17" s="8">
        <v>114</v>
      </c>
      <c r="W17" s="8">
        <v>109</v>
      </c>
      <c r="X17" s="8">
        <v>119</v>
      </c>
      <c r="Y17" s="8">
        <v>109</v>
      </c>
    </row>
    <row r="18" spans="1:25" x14ac:dyDescent="0.35">
      <c r="A18" s="199" t="s">
        <v>112</v>
      </c>
      <c r="B18" s="203" t="s">
        <v>3</v>
      </c>
      <c r="C18" s="207" t="s">
        <v>68</v>
      </c>
      <c r="D18" s="207" t="s">
        <v>68</v>
      </c>
      <c r="E18" s="207">
        <v>0</v>
      </c>
      <c r="F18" s="207">
        <v>0</v>
      </c>
      <c r="G18" s="207" t="s">
        <v>68</v>
      </c>
      <c r="H18" s="207" t="s">
        <v>68</v>
      </c>
      <c r="I18" s="207">
        <v>0</v>
      </c>
      <c r="J18" s="207">
        <v>0</v>
      </c>
      <c r="K18" s="207" t="s">
        <v>68</v>
      </c>
      <c r="L18" s="193">
        <f t="shared" ref="L18:L24" si="12">F18-E18</f>
        <v>0</v>
      </c>
      <c r="M18" s="207" t="s">
        <v>68</v>
      </c>
      <c r="N18" s="193">
        <f t="shared" ref="N18:N24" si="13">J18-I18</f>
        <v>0</v>
      </c>
      <c r="O18" s="207" t="s">
        <v>68</v>
      </c>
      <c r="P18" s="193">
        <f t="shared" ref="P18:P24" si="14">L18-N18</f>
        <v>0</v>
      </c>
      <c r="Q18" s="8">
        <v>79</v>
      </c>
      <c r="R18" s="8">
        <v>84</v>
      </c>
      <c r="S18" s="8">
        <v>74</v>
      </c>
      <c r="T18" s="8">
        <v>94</v>
      </c>
      <c r="U18" s="8">
        <v>84</v>
      </c>
      <c r="V18" s="8">
        <v>108</v>
      </c>
      <c r="W18" s="8">
        <v>91</v>
      </c>
      <c r="X18" s="8">
        <v>96</v>
      </c>
      <c r="Y18" s="8">
        <v>91</v>
      </c>
    </row>
    <row r="19" spans="1:25" x14ac:dyDescent="0.35">
      <c r="A19" s="199" t="s">
        <v>28</v>
      </c>
      <c r="B19" s="203" t="s">
        <v>1</v>
      </c>
      <c r="C19" s="207">
        <v>630</v>
      </c>
      <c r="D19" s="207">
        <v>836</v>
      </c>
      <c r="E19" s="207">
        <v>26.4</v>
      </c>
      <c r="F19" s="208" t="s">
        <v>629</v>
      </c>
      <c r="G19" s="207">
        <v>648</v>
      </c>
      <c r="H19" s="207">
        <v>849</v>
      </c>
      <c r="I19" s="207">
        <v>14</v>
      </c>
      <c r="J19" s="208" t="s">
        <v>630</v>
      </c>
      <c r="K19" s="197">
        <f t="shared" ref="K19:K22" si="15">D19-C19</f>
        <v>206</v>
      </c>
      <c r="L19" s="193">
        <f t="shared" si="12"/>
        <v>-67.099999999999994</v>
      </c>
      <c r="M19" s="193">
        <f t="shared" ref="M19:M22" si="16">H19-G19</f>
        <v>201</v>
      </c>
      <c r="N19" s="193">
        <f t="shared" si="13"/>
        <v>-38.4</v>
      </c>
      <c r="O19" s="193">
        <f t="shared" ref="O19:O22" si="17">K19-M19</f>
        <v>5</v>
      </c>
      <c r="P19" s="193">
        <f t="shared" si="14"/>
        <v>-28.699999999999996</v>
      </c>
      <c r="Q19" s="5">
        <v>89</v>
      </c>
      <c r="R19" s="5">
        <v>106</v>
      </c>
      <c r="S19" s="5">
        <v>76</v>
      </c>
      <c r="T19" s="5">
        <v>100</v>
      </c>
      <c r="U19" s="5">
        <v>84</v>
      </c>
      <c r="V19" s="5">
        <v>97</v>
      </c>
      <c r="W19" s="5">
        <v>97</v>
      </c>
      <c r="X19" s="5">
        <v>98</v>
      </c>
      <c r="Y19" s="5">
        <v>109</v>
      </c>
    </row>
    <row r="20" spans="1:25" x14ac:dyDescent="0.35">
      <c r="A20" s="196" t="s">
        <v>6</v>
      </c>
      <c r="B20" s="203" t="s">
        <v>1</v>
      </c>
      <c r="C20" s="207" t="s">
        <v>68</v>
      </c>
      <c r="D20" s="207" t="s">
        <v>68</v>
      </c>
      <c r="E20" s="207">
        <v>0</v>
      </c>
      <c r="F20" s="207">
        <v>0</v>
      </c>
      <c r="G20" s="207" t="s">
        <v>68</v>
      </c>
      <c r="H20" s="207" t="s">
        <v>68</v>
      </c>
      <c r="I20" s="207">
        <v>0</v>
      </c>
      <c r="J20" s="207">
        <v>0</v>
      </c>
      <c r="K20" s="207" t="s">
        <v>68</v>
      </c>
      <c r="L20" s="193">
        <f t="shared" si="12"/>
        <v>0</v>
      </c>
      <c r="M20" s="207" t="s">
        <v>68</v>
      </c>
      <c r="N20" s="193">
        <f t="shared" si="13"/>
        <v>0</v>
      </c>
      <c r="O20" s="207" t="s">
        <v>68</v>
      </c>
      <c r="P20" s="193">
        <f t="shared" si="14"/>
        <v>0</v>
      </c>
      <c r="Q20" s="5">
        <v>96</v>
      </c>
      <c r="R20" s="8">
        <v>98</v>
      </c>
      <c r="S20" s="8">
        <v>100</v>
      </c>
      <c r="T20" s="8">
        <v>91</v>
      </c>
      <c r="U20" s="8">
        <v>94</v>
      </c>
      <c r="V20" s="8">
        <v>105</v>
      </c>
      <c r="W20" s="8">
        <v>123</v>
      </c>
      <c r="X20" s="8">
        <v>101</v>
      </c>
      <c r="Y20" s="8">
        <v>115</v>
      </c>
    </row>
    <row r="21" spans="1:25" x14ac:dyDescent="0.35">
      <c r="A21" s="200" t="s">
        <v>7</v>
      </c>
      <c r="B21" s="204" t="s">
        <v>1</v>
      </c>
      <c r="C21" s="207" t="s">
        <v>68</v>
      </c>
      <c r="D21" s="207" t="s">
        <v>68</v>
      </c>
      <c r="E21" s="207">
        <v>0</v>
      </c>
      <c r="F21" s="207">
        <v>0</v>
      </c>
      <c r="G21" s="207" t="s">
        <v>68</v>
      </c>
      <c r="H21" s="207" t="s">
        <v>68</v>
      </c>
      <c r="I21" s="207">
        <v>0</v>
      </c>
      <c r="J21" s="207">
        <v>0</v>
      </c>
      <c r="K21" s="207" t="s">
        <v>68</v>
      </c>
      <c r="L21" s="193">
        <f t="shared" si="12"/>
        <v>0</v>
      </c>
      <c r="M21" s="207" t="s">
        <v>68</v>
      </c>
      <c r="N21" s="193">
        <f t="shared" si="13"/>
        <v>0</v>
      </c>
      <c r="O21" s="207" t="s">
        <v>68</v>
      </c>
      <c r="P21" s="193">
        <f t="shared" si="14"/>
        <v>0</v>
      </c>
      <c r="Q21" s="8">
        <v>122</v>
      </c>
      <c r="R21" s="8">
        <v>116</v>
      </c>
      <c r="S21" s="8">
        <v>124</v>
      </c>
      <c r="T21" s="8">
        <v>120</v>
      </c>
      <c r="U21" s="8">
        <v>105</v>
      </c>
      <c r="V21" s="8">
        <v>105</v>
      </c>
      <c r="W21" s="8">
        <v>103</v>
      </c>
      <c r="X21" s="8">
        <v>104</v>
      </c>
      <c r="Y21" s="8">
        <v>103</v>
      </c>
    </row>
    <row r="22" spans="1:25" x14ac:dyDescent="0.35">
      <c r="A22" s="199" t="s">
        <v>11</v>
      </c>
      <c r="B22" s="203" t="s">
        <v>1</v>
      </c>
      <c r="C22" s="207">
        <v>329</v>
      </c>
      <c r="D22" s="207">
        <v>393</v>
      </c>
      <c r="E22" s="207">
        <v>0.3</v>
      </c>
      <c r="F22" s="208" t="s">
        <v>631</v>
      </c>
      <c r="G22" s="207">
        <v>340</v>
      </c>
      <c r="H22" s="207">
        <v>391</v>
      </c>
      <c r="I22" s="208" t="s">
        <v>632</v>
      </c>
      <c r="J22" s="208" t="s">
        <v>633</v>
      </c>
      <c r="K22" s="197">
        <f t="shared" si="15"/>
        <v>64</v>
      </c>
      <c r="L22" s="193">
        <f t="shared" si="12"/>
        <v>-31.400000000000002</v>
      </c>
      <c r="M22" s="193">
        <f t="shared" si="16"/>
        <v>51</v>
      </c>
      <c r="N22" s="193">
        <f t="shared" si="13"/>
        <v>-29.099999999999998</v>
      </c>
      <c r="O22" s="193">
        <f t="shared" si="17"/>
        <v>13</v>
      </c>
      <c r="P22" s="193">
        <f t="shared" si="14"/>
        <v>-2.3000000000000043</v>
      </c>
      <c r="Q22" s="8">
        <v>100</v>
      </c>
      <c r="R22" s="8">
        <v>89</v>
      </c>
      <c r="S22" s="8">
        <v>105</v>
      </c>
      <c r="T22" s="8">
        <v>94</v>
      </c>
      <c r="U22" s="8">
        <v>108</v>
      </c>
      <c r="V22" s="8" t="s">
        <v>68</v>
      </c>
      <c r="W22" s="8" t="s">
        <v>68</v>
      </c>
      <c r="X22" s="8" t="s">
        <v>68</v>
      </c>
      <c r="Y22" s="8" t="s">
        <v>68</v>
      </c>
    </row>
    <row r="23" spans="1:25" x14ac:dyDescent="0.35">
      <c r="A23" s="199" t="s">
        <v>15</v>
      </c>
      <c r="B23" s="203" t="s">
        <v>1</v>
      </c>
      <c r="C23" s="207" t="s">
        <v>68</v>
      </c>
      <c r="D23" s="207" t="s">
        <v>68</v>
      </c>
      <c r="E23" s="207">
        <v>0</v>
      </c>
      <c r="F23" s="207">
        <v>0</v>
      </c>
      <c r="G23" s="207" t="s">
        <v>68</v>
      </c>
      <c r="H23" s="207" t="s">
        <v>68</v>
      </c>
      <c r="I23" s="207">
        <v>0</v>
      </c>
      <c r="J23" s="207">
        <v>0</v>
      </c>
      <c r="K23" s="207" t="s">
        <v>68</v>
      </c>
      <c r="L23" s="193">
        <f t="shared" si="12"/>
        <v>0</v>
      </c>
      <c r="M23" s="207" t="s">
        <v>68</v>
      </c>
      <c r="N23" s="193">
        <f t="shared" si="13"/>
        <v>0</v>
      </c>
      <c r="O23" s="207" t="s">
        <v>68</v>
      </c>
      <c r="P23" s="193">
        <f t="shared" si="14"/>
        <v>0</v>
      </c>
      <c r="Q23" s="8">
        <v>106</v>
      </c>
      <c r="R23" s="8">
        <v>106</v>
      </c>
      <c r="S23" s="8">
        <v>110</v>
      </c>
      <c r="T23" s="8">
        <v>100</v>
      </c>
      <c r="U23" s="8">
        <v>102</v>
      </c>
      <c r="V23" s="8">
        <v>99</v>
      </c>
      <c r="W23" s="8">
        <v>88</v>
      </c>
      <c r="X23" s="8">
        <v>96</v>
      </c>
      <c r="Y23" s="8">
        <v>88</v>
      </c>
    </row>
    <row r="24" spans="1:25" x14ac:dyDescent="0.35">
      <c r="A24" s="199" t="s">
        <v>75</v>
      </c>
      <c r="B24" s="203" t="s">
        <v>1</v>
      </c>
      <c r="C24" s="207" t="s">
        <v>68</v>
      </c>
      <c r="D24" s="207" t="s">
        <v>68</v>
      </c>
      <c r="E24" s="207">
        <v>0</v>
      </c>
      <c r="F24" s="207">
        <v>0</v>
      </c>
      <c r="G24" s="207" t="s">
        <v>68</v>
      </c>
      <c r="H24" s="207" t="s">
        <v>68</v>
      </c>
      <c r="I24" s="207">
        <v>0</v>
      </c>
      <c r="J24" s="207">
        <v>0</v>
      </c>
      <c r="K24" s="207" t="s">
        <v>68</v>
      </c>
      <c r="L24" s="193">
        <f t="shared" si="12"/>
        <v>0</v>
      </c>
      <c r="M24" s="207" t="s">
        <v>68</v>
      </c>
      <c r="N24" s="193">
        <f t="shared" si="13"/>
        <v>0</v>
      </c>
      <c r="O24" s="207" t="s">
        <v>68</v>
      </c>
      <c r="P24" s="193">
        <f t="shared" si="14"/>
        <v>0</v>
      </c>
      <c r="Q24" s="5">
        <v>50</v>
      </c>
      <c r="R24" s="5">
        <v>63</v>
      </c>
      <c r="S24" s="5">
        <v>64</v>
      </c>
      <c r="T24" s="5">
        <v>55</v>
      </c>
      <c r="U24" s="5">
        <v>55</v>
      </c>
      <c r="V24" s="5">
        <v>89</v>
      </c>
      <c r="W24" s="5">
        <v>100</v>
      </c>
      <c r="X24" s="5">
        <v>84</v>
      </c>
      <c r="Y24" s="5">
        <v>100</v>
      </c>
    </row>
    <row r="25" spans="1:25" x14ac:dyDescent="0.35">
      <c r="A25" s="199" t="s">
        <v>16</v>
      </c>
      <c r="B25" s="203" t="s">
        <v>1</v>
      </c>
      <c r="C25" s="207" t="s">
        <v>68</v>
      </c>
      <c r="D25" s="207" t="s">
        <v>68</v>
      </c>
      <c r="E25" s="207">
        <v>0</v>
      </c>
      <c r="F25" s="207">
        <v>0</v>
      </c>
      <c r="G25" s="207" t="s">
        <v>68</v>
      </c>
      <c r="H25" s="207" t="s">
        <v>68</v>
      </c>
      <c r="I25" s="207">
        <v>0</v>
      </c>
      <c r="J25" s="207">
        <v>0</v>
      </c>
      <c r="K25" s="207" t="s">
        <v>68</v>
      </c>
      <c r="L25" s="193">
        <f>F25-E25</f>
        <v>0</v>
      </c>
      <c r="M25" s="207" t="s">
        <v>68</v>
      </c>
      <c r="N25" s="193">
        <f>J25-I25</f>
        <v>0</v>
      </c>
      <c r="O25" s="207" t="s">
        <v>68</v>
      </c>
      <c r="P25" s="193">
        <f>L25-N25</f>
        <v>0</v>
      </c>
      <c r="Q25" s="8">
        <v>103</v>
      </c>
      <c r="R25" s="8">
        <v>104</v>
      </c>
      <c r="S25" s="8">
        <v>106</v>
      </c>
      <c r="T25" s="8">
        <v>103</v>
      </c>
      <c r="U25" s="8">
        <v>94</v>
      </c>
      <c r="V25" s="8">
        <v>102</v>
      </c>
      <c r="W25" s="8">
        <v>103</v>
      </c>
      <c r="X25" s="8">
        <v>98</v>
      </c>
      <c r="Y25" s="8">
        <v>97</v>
      </c>
    </row>
    <row r="26" spans="1:25" x14ac:dyDescent="0.35">
      <c r="A26" s="199" t="s">
        <v>78</v>
      </c>
      <c r="B26" s="203" t="s">
        <v>1</v>
      </c>
      <c r="C26" s="207" t="s">
        <v>68</v>
      </c>
      <c r="D26" s="207" t="s">
        <v>68</v>
      </c>
      <c r="E26" s="207">
        <v>0</v>
      </c>
      <c r="F26" s="207">
        <v>0</v>
      </c>
      <c r="G26" s="207" t="s">
        <v>68</v>
      </c>
      <c r="H26" s="207" t="s">
        <v>68</v>
      </c>
      <c r="I26" s="207">
        <v>0</v>
      </c>
      <c r="J26" s="207">
        <v>0</v>
      </c>
      <c r="K26" s="207" t="s">
        <v>68</v>
      </c>
      <c r="L26" s="193">
        <f t="shared" ref="L26:L28" si="18">F26-E26</f>
        <v>0</v>
      </c>
      <c r="M26" s="207" t="s">
        <v>68</v>
      </c>
      <c r="N26" s="193">
        <f t="shared" ref="N26:N28" si="19">J26-I26</f>
        <v>0</v>
      </c>
      <c r="O26" s="207" t="s">
        <v>68</v>
      </c>
      <c r="P26" s="193">
        <f t="shared" ref="P26:P28" si="20">L26-N26</f>
        <v>0</v>
      </c>
      <c r="Q26" s="5">
        <v>73</v>
      </c>
      <c r="R26" s="5">
        <v>75</v>
      </c>
      <c r="S26" s="5">
        <v>82</v>
      </c>
      <c r="T26" s="5">
        <v>71</v>
      </c>
      <c r="U26" s="5">
        <v>86</v>
      </c>
      <c r="V26" s="5">
        <v>94</v>
      </c>
      <c r="W26" s="5">
        <v>97</v>
      </c>
      <c r="X26" s="5">
        <v>96</v>
      </c>
      <c r="Y26" s="5">
        <v>100</v>
      </c>
    </row>
    <row r="27" spans="1:25" x14ac:dyDescent="0.35">
      <c r="A27" s="199" t="s">
        <v>19</v>
      </c>
      <c r="B27" s="203" t="s">
        <v>1</v>
      </c>
      <c r="C27" s="207" t="s">
        <v>68</v>
      </c>
      <c r="D27" s="207" t="s">
        <v>68</v>
      </c>
      <c r="E27" s="207">
        <v>0</v>
      </c>
      <c r="F27" s="207">
        <v>0</v>
      </c>
      <c r="G27" s="207" t="s">
        <v>68</v>
      </c>
      <c r="H27" s="207" t="s">
        <v>68</v>
      </c>
      <c r="I27" s="207">
        <v>0</v>
      </c>
      <c r="J27" s="207">
        <v>0</v>
      </c>
      <c r="K27" s="207" t="s">
        <v>68</v>
      </c>
      <c r="L27" s="193">
        <f t="shared" si="18"/>
        <v>0</v>
      </c>
      <c r="M27" s="207" t="s">
        <v>68</v>
      </c>
      <c r="N27" s="193">
        <f t="shared" si="19"/>
        <v>0</v>
      </c>
      <c r="O27" s="207" t="s">
        <v>68</v>
      </c>
      <c r="P27" s="193">
        <f t="shared" si="20"/>
        <v>0</v>
      </c>
      <c r="Q27" s="8">
        <v>93</v>
      </c>
      <c r="R27" s="8">
        <v>94</v>
      </c>
      <c r="S27" s="8">
        <v>92</v>
      </c>
      <c r="T27" s="8">
        <v>83</v>
      </c>
      <c r="U27" s="8">
        <v>100</v>
      </c>
      <c r="V27" s="8">
        <v>79</v>
      </c>
      <c r="W27" s="8">
        <v>94</v>
      </c>
      <c r="X27" s="8">
        <v>84</v>
      </c>
      <c r="Y27" s="8">
        <v>100</v>
      </c>
    </row>
    <row r="28" spans="1:25" x14ac:dyDescent="0.35">
      <c r="A28" s="199" t="s">
        <v>32</v>
      </c>
      <c r="B28" s="203" t="s">
        <v>1</v>
      </c>
      <c r="C28" s="207" t="s">
        <v>68</v>
      </c>
      <c r="D28" s="207" t="s">
        <v>68</v>
      </c>
      <c r="E28" s="207">
        <v>0</v>
      </c>
      <c r="F28" s="207">
        <v>0</v>
      </c>
      <c r="G28" s="207" t="s">
        <v>68</v>
      </c>
      <c r="H28" s="207" t="s">
        <v>68</v>
      </c>
      <c r="I28" s="207">
        <v>0</v>
      </c>
      <c r="J28" s="207">
        <v>0</v>
      </c>
      <c r="K28" s="207" t="s">
        <v>68</v>
      </c>
      <c r="L28" s="193">
        <f t="shared" si="18"/>
        <v>0</v>
      </c>
      <c r="M28" s="207" t="s">
        <v>68</v>
      </c>
      <c r="N28" s="193">
        <f t="shared" si="19"/>
        <v>0</v>
      </c>
      <c r="O28" s="207" t="s">
        <v>68</v>
      </c>
      <c r="P28" s="193">
        <f t="shared" si="20"/>
        <v>0</v>
      </c>
      <c r="Q28" s="8">
        <v>137</v>
      </c>
      <c r="R28" s="8">
        <v>139</v>
      </c>
      <c r="S28" s="8">
        <v>128</v>
      </c>
      <c r="T28" s="8">
        <v>112</v>
      </c>
      <c r="U28" s="8">
        <v>137</v>
      </c>
      <c r="V28" s="8">
        <v>136</v>
      </c>
      <c r="W28" s="8">
        <v>115</v>
      </c>
      <c r="X28" s="8">
        <v>132</v>
      </c>
      <c r="Y28" s="8">
        <v>118</v>
      </c>
    </row>
    <row r="29" spans="1:25" x14ac:dyDescent="0.35">
      <c r="A29" s="199" t="s">
        <v>83</v>
      </c>
      <c r="B29" s="203" t="s">
        <v>1</v>
      </c>
      <c r="C29" s="207">
        <v>328.5</v>
      </c>
      <c r="D29" s="207">
        <v>402</v>
      </c>
      <c r="E29" s="208" t="s">
        <v>634</v>
      </c>
      <c r="F29" s="208" t="s">
        <v>635</v>
      </c>
      <c r="G29" s="207">
        <v>327.5</v>
      </c>
      <c r="H29" s="207">
        <v>423</v>
      </c>
      <c r="I29" s="207">
        <v>0.7</v>
      </c>
      <c r="J29" s="208" t="s">
        <v>636</v>
      </c>
      <c r="K29" s="197">
        <f>D29-C29</f>
        <v>73.5</v>
      </c>
      <c r="L29" s="193">
        <f>F29-E29</f>
        <v>-56.599999999999994</v>
      </c>
      <c r="M29" s="193">
        <f>H29-G29</f>
        <v>95.5</v>
      </c>
      <c r="N29" s="193">
        <f>J29-I29</f>
        <v>-67.3</v>
      </c>
      <c r="O29" s="193">
        <f>K29-M29</f>
        <v>-22</v>
      </c>
      <c r="P29" s="193">
        <f>L29-N29</f>
        <v>10.700000000000003</v>
      </c>
      <c r="Q29" s="8">
        <v>104</v>
      </c>
      <c r="R29" s="8">
        <v>110</v>
      </c>
      <c r="S29" s="8">
        <v>106</v>
      </c>
      <c r="T29" s="8">
        <v>91</v>
      </c>
      <c r="U29" s="8">
        <v>102</v>
      </c>
      <c r="V29" s="8">
        <v>114</v>
      </c>
      <c r="W29" s="8">
        <v>109</v>
      </c>
      <c r="X29" s="8">
        <v>119</v>
      </c>
      <c r="Y29" s="8">
        <v>109</v>
      </c>
    </row>
    <row r="30" spans="1:25" x14ac:dyDescent="0.35">
      <c r="A30" s="199" t="s">
        <v>34</v>
      </c>
      <c r="B30" s="203" t="s">
        <v>1</v>
      </c>
      <c r="C30" s="207" t="s">
        <v>68</v>
      </c>
      <c r="D30" s="207" t="s">
        <v>68</v>
      </c>
      <c r="E30" s="207">
        <v>0</v>
      </c>
      <c r="F30" s="207">
        <v>0</v>
      </c>
      <c r="G30" s="207" t="s">
        <v>68</v>
      </c>
      <c r="H30" s="207" t="s">
        <v>68</v>
      </c>
      <c r="I30" s="207">
        <v>0</v>
      </c>
      <c r="J30" s="207">
        <v>0</v>
      </c>
      <c r="K30" s="207" t="s">
        <v>68</v>
      </c>
      <c r="L30" s="193">
        <f t="shared" ref="L30:L38" si="21">F30-E30</f>
        <v>0</v>
      </c>
      <c r="M30" s="207" t="s">
        <v>68</v>
      </c>
      <c r="N30" s="193">
        <f t="shared" ref="N30:N38" si="22">J30-I30</f>
        <v>0</v>
      </c>
      <c r="O30" s="207" t="s">
        <v>68</v>
      </c>
      <c r="P30" s="193">
        <f t="shared" ref="P30:P38" si="23">L30-N30</f>
        <v>0</v>
      </c>
      <c r="Q30" s="8">
        <v>99</v>
      </c>
      <c r="R30" s="8">
        <v>86</v>
      </c>
      <c r="S30" s="8">
        <v>110</v>
      </c>
      <c r="T30" s="8">
        <v>85</v>
      </c>
      <c r="U30" s="8">
        <v>117</v>
      </c>
      <c r="V30" s="8">
        <v>114</v>
      </c>
      <c r="W30" s="8">
        <v>126</v>
      </c>
      <c r="X30" s="8">
        <v>107</v>
      </c>
      <c r="Y30" s="8">
        <v>121</v>
      </c>
    </row>
    <row r="31" spans="1:25" x14ac:dyDescent="0.35">
      <c r="A31" s="199" t="s">
        <v>88</v>
      </c>
      <c r="B31" s="203" t="s">
        <v>1</v>
      </c>
      <c r="C31" s="207" t="s">
        <v>68</v>
      </c>
      <c r="D31" s="207" t="s">
        <v>68</v>
      </c>
      <c r="E31" s="207">
        <v>0</v>
      </c>
      <c r="F31" s="207">
        <v>0</v>
      </c>
      <c r="G31" s="207" t="s">
        <v>68</v>
      </c>
      <c r="H31" s="207" t="s">
        <v>68</v>
      </c>
      <c r="I31" s="207">
        <v>0</v>
      </c>
      <c r="J31" s="207">
        <v>0</v>
      </c>
      <c r="K31" s="207" t="s">
        <v>68</v>
      </c>
      <c r="L31" s="193">
        <f t="shared" si="21"/>
        <v>0</v>
      </c>
      <c r="M31" s="207" t="s">
        <v>68</v>
      </c>
      <c r="N31" s="193">
        <f t="shared" si="22"/>
        <v>0</v>
      </c>
      <c r="O31" s="207" t="s">
        <v>68</v>
      </c>
      <c r="P31" s="193">
        <f t="shared" si="23"/>
        <v>0</v>
      </c>
      <c r="Q31" s="8">
        <v>78</v>
      </c>
      <c r="R31" s="8">
        <v>88</v>
      </c>
      <c r="S31" s="8">
        <v>88</v>
      </c>
      <c r="T31" s="8">
        <v>83</v>
      </c>
      <c r="U31" s="8">
        <v>66</v>
      </c>
      <c r="V31" s="8">
        <v>94</v>
      </c>
      <c r="W31" s="8">
        <v>100</v>
      </c>
      <c r="X31" s="8">
        <v>94</v>
      </c>
      <c r="Y31" s="8">
        <v>97</v>
      </c>
    </row>
    <row r="32" spans="1:25" x14ac:dyDescent="0.35">
      <c r="A32" s="199" t="s">
        <v>36</v>
      </c>
      <c r="B32" s="203" t="s">
        <v>1</v>
      </c>
      <c r="C32" s="207" t="s">
        <v>68</v>
      </c>
      <c r="D32" s="207" t="s">
        <v>68</v>
      </c>
      <c r="E32" s="207">
        <v>0</v>
      </c>
      <c r="F32" s="207">
        <v>0</v>
      </c>
      <c r="G32" s="207" t="s">
        <v>68</v>
      </c>
      <c r="H32" s="207" t="s">
        <v>68</v>
      </c>
      <c r="I32" s="207">
        <v>0</v>
      </c>
      <c r="J32" s="207">
        <v>0</v>
      </c>
      <c r="K32" s="207" t="s">
        <v>68</v>
      </c>
      <c r="L32" s="193">
        <f t="shared" si="21"/>
        <v>0</v>
      </c>
      <c r="M32" s="207" t="s">
        <v>68</v>
      </c>
      <c r="N32" s="193">
        <f t="shared" si="22"/>
        <v>0</v>
      </c>
      <c r="O32" s="207" t="s">
        <v>68</v>
      </c>
      <c r="P32" s="193">
        <f t="shared" si="23"/>
        <v>0</v>
      </c>
      <c r="Q32" s="8">
        <v>61</v>
      </c>
      <c r="R32" s="8">
        <v>61</v>
      </c>
      <c r="S32" s="8">
        <v>78</v>
      </c>
      <c r="T32" s="8">
        <v>63</v>
      </c>
      <c r="U32" s="8">
        <v>72</v>
      </c>
      <c r="V32" s="8">
        <v>70</v>
      </c>
      <c r="W32" s="8">
        <v>71</v>
      </c>
      <c r="X32" s="8">
        <v>74</v>
      </c>
      <c r="Y32" s="8">
        <v>60</v>
      </c>
    </row>
    <row r="33" spans="1:25" x14ac:dyDescent="0.35">
      <c r="A33" s="199" t="s">
        <v>24</v>
      </c>
      <c r="B33" s="203" t="s">
        <v>1</v>
      </c>
      <c r="C33" s="207" t="s">
        <v>68</v>
      </c>
      <c r="D33" s="207" t="s">
        <v>68</v>
      </c>
      <c r="E33" s="207">
        <v>0</v>
      </c>
      <c r="F33" s="207">
        <v>0</v>
      </c>
      <c r="G33" s="207" t="s">
        <v>68</v>
      </c>
      <c r="H33" s="207" t="s">
        <v>68</v>
      </c>
      <c r="I33" s="207">
        <v>0</v>
      </c>
      <c r="J33" s="207">
        <v>0</v>
      </c>
      <c r="K33" s="207" t="s">
        <v>68</v>
      </c>
      <c r="L33" s="193">
        <f t="shared" si="21"/>
        <v>0</v>
      </c>
      <c r="M33" s="207" t="s">
        <v>68</v>
      </c>
      <c r="N33" s="193">
        <f t="shared" si="22"/>
        <v>0</v>
      </c>
      <c r="O33" s="207" t="s">
        <v>68</v>
      </c>
      <c r="P33" s="193">
        <f t="shared" si="23"/>
        <v>0</v>
      </c>
      <c r="Q33" s="8">
        <v>87</v>
      </c>
      <c r="R33" s="8">
        <v>92</v>
      </c>
      <c r="S33" s="8">
        <v>85</v>
      </c>
      <c r="T33" s="8">
        <v>97</v>
      </c>
      <c r="U33" s="8">
        <v>88</v>
      </c>
      <c r="V33" s="8">
        <v>94</v>
      </c>
      <c r="W33" s="8">
        <v>109</v>
      </c>
      <c r="X33" s="8">
        <v>96</v>
      </c>
      <c r="Y33" s="8">
        <v>112</v>
      </c>
    </row>
    <row r="34" spans="1:25" x14ac:dyDescent="0.35">
      <c r="A34" s="196" t="s">
        <v>95</v>
      </c>
      <c r="B34" s="203" t="s">
        <v>1</v>
      </c>
      <c r="C34" s="207">
        <v>605</v>
      </c>
      <c r="D34" s="207">
        <v>785</v>
      </c>
      <c r="E34" s="207">
        <v>6.9</v>
      </c>
      <c r="F34" s="208" t="s">
        <v>637</v>
      </c>
      <c r="G34" s="207">
        <v>558.5</v>
      </c>
      <c r="H34" s="207">
        <v>805.5</v>
      </c>
      <c r="I34" s="207">
        <v>1.6</v>
      </c>
      <c r="J34" s="208" t="s">
        <v>638</v>
      </c>
      <c r="K34" s="197">
        <f t="shared" ref="K34:K38" si="24">D34-C34</f>
        <v>180</v>
      </c>
      <c r="L34" s="193">
        <f t="shared" si="21"/>
        <v>-32.700000000000003</v>
      </c>
      <c r="M34" s="193">
        <f t="shared" ref="M34:M38" si="25">H34-G34</f>
        <v>247</v>
      </c>
      <c r="N34" s="193">
        <f t="shared" si="22"/>
        <v>-27.700000000000003</v>
      </c>
      <c r="O34" s="193">
        <f t="shared" ref="O34:O38" si="26">K34-M34</f>
        <v>-67</v>
      </c>
      <c r="P34" s="193">
        <f t="shared" si="23"/>
        <v>-5</v>
      </c>
      <c r="Q34" s="8">
        <v>60</v>
      </c>
      <c r="R34" s="8">
        <v>94</v>
      </c>
      <c r="S34" s="8">
        <v>64</v>
      </c>
      <c r="T34" s="8">
        <v>52</v>
      </c>
      <c r="U34" s="8">
        <v>50</v>
      </c>
      <c r="V34" s="8">
        <v>72</v>
      </c>
      <c r="W34" s="8">
        <v>74</v>
      </c>
      <c r="X34" s="8">
        <v>74</v>
      </c>
      <c r="Y34" s="8">
        <v>72</v>
      </c>
    </row>
    <row r="35" spans="1:25" x14ac:dyDescent="0.35">
      <c r="A35" s="199" t="s">
        <v>99</v>
      </c>
      <c r="B35" s="203" t="s">
        <v>1</v>
      </c>
      <c r="C35" s="207" t="s">
        <v>68</v>
      </c>
      <c r="D35" s="207" t="s">
        <v>68</v>
      </c>
      <c r="E35" s="207">
        <v>0</v>
      </c>
      <c r="F35" s="207">
        <v>0</v>
      </c>
      <c r="G35" s="207" t="s">
        <v>68</v>
      </c>
      <c r="H35" s="207" t="s">
        <v>68</v>
      </c>
      <c r="I35" s="207">
        <v>0</v>
      </c>
      <c r="J35" s="207">
        <v>0</v>
      </c>
      <c r="K35" s="207" t="s">
        <v>68</v>
      </c>
      <c r="L35" s="193">
        <f t="shared" si="21"/>
        <v>0</v>
      </c>
      <c r="M35" s="207" t="s">
        <v>68</v>
      </c>
      <c r="N35" s="193">
        <f t="shared" si="22"/>
        <v>0</v>
      </c>
      <c r="O35" s="207" t="s">
        <v>68</v>
      </c>
      <c r="P35" s="193">
        <f t="shared" si="23"/>
        <v>0</v>
      </c>
      <c r="Q35" s="5" t="s">
        <v>68</v>
      </c>
      <c r="R35" s="5">
        <v>126</v>
      </c>
      <c r="S35" s="5">
        <v>107</v>
      </c>
      <c r="T35" s="5">
        <v>103</v>
      </c>
      <c r="U35" s="5">
        <v>103</v>
      </c>
      <c r="V35" s="5">
        <v>138</v>
      </c>
      <c r="W35" s="5">
        <v>129</v>
      </c>
      <c r="X35" s="5">
        <v>123</v>
      </c>
      <c r="Y35" s="5">
        <v>121</v>
      </c>
    </row>
    <row r="36" spans="1:25" x14ac:dyDescent="0.35">
      <c r="A36" s="199" t="s">
        <v>62</v>
      </c>
      <c r="B36" s="203" t="s">
        <v>1</v>
      </c>
      <c r="C36" s="207">
        <v>508</v>
      </c>
      <c r="D36" s="207">
        <v>776</v>
      </c>
      <c r="E36" s="207">
        <v>12.8</v>
      </c>
      <c r="F36" s="208" t="s">
        <v>639</v>
      </c>
      <c r="G36" s="207">
        <v>617</v>
      </c>
      <c r="H36" s="207">
        <v>796</v>
      </c>
      <c r="I36" s="208" t="s">
        <v>640</v>
      </c>
      <c r="J36" s="208" t="s">
        <v>641</v>
      </c>
      <c r="K36" s="197">
        <f t="shared" si="24"/>
        <v>268</v>
      </c>
      <c r="L36" s="193">
        <f t="shared" si="21"/>
        <v>-65.599999999999994</v>
      </c>
      <c r="M36" s="193">
        <f t="shared" si="25"/>
        <v>179</v>
      </c>
      <c r="N36" s="193">
        <f t="shared" si="22"/>
        <v>-71.399999999999991</v>
      </c>
      <c r="O36" s="193">
        <f t="shared" si="26"/>
        <v>89</v>
      </c>
      <c r="P36" s="193">
        <f t="shared" si="23"/>
        <v>5.7999999999999972</v>
      </c>
      <c r="Q36" s="5">
        <v>97</v>
      </c>
      <c r="R36" s="5">
        <v>112</v>
      </c>
      <c r="S36" s="5">
        <v>82</v>
      </c>
      <c r="T36" s="5">
        <v>85</v>
      </c>
      <c r="U36" s="5">
        <v>97</v>
      </c>
      <c r="V36" s="5">
        <v>124</v>
      </c>
      <c r="W36" s="5">
        <v>118</v>
      </c>
      <c r="X36" s="5">
        <v>123</v>
      </c>
      <c r="Y36" s="5">
        <v>118</v>
      </c>
    </row>
    <row r="37" spans="1:25" x14ac:dyDescent="0.35">
      <c r="A37" s="199" t="s">
        <v>431</v>
      </c>
      <c r="B37" s="203" t="s">
        <v>1</v>
      </c>
      <c r="C37" s="207">
        <v>403</v>
      </c>
      <c r="D37" s="207">
        <v>564</v>
      </c>
      <c r="E37" s="207">
        <v>131.19999999999999</v>
      </c>
      <c r="F37" s="208" t="s">
        <v>642</v>
      </c>
      <c r="G37" s="207">
        <v>404.5</v>
      </c>
      <c r="H37" s="207">
        <v>658</v>
      </c>
      <c r="I37" s="207">
        <v>145.30000000000001</v>
      </c>
      <c r="J37" s="208" t="s">
        <v>643</v>
      </c>
      <c r="K37" s="197">
        <f t="shared" si="24"/>
        <v>161</v>
      </c>
      <c r="L37" s="193">
        <f t="shared" si="21"/>
        <v>-154.6</v>
      </c>
      <c r="M37" s="193">
        <f t="shared" si="25"/>
        <v>253.5</v>
      </c>
      <c r="N37" s="193">
        <f t="shared" si="22"/>
        <v>-162.9</v>
      </c>
      <c r="O37" s="193">
        <f t="shared" si="26"/>
        <v>-92.5</v>
      </c>
      <c r="P37" s="193">
        <f t="shared" si="23"/>
        <v>8.3000000000000114</v>
      </c>
      <c r="Q37" s="62">
        <v>76</v>
      </c>
      <c r="R37" s="62">
        <v>84</v>
      </c>
      <c r="S37" s="62">
        <v>76</v>
      </c>
      <c r="T37" s="62">
        <v>74</v>
      </c>
      <c r="U37" s="62">
        <v>89</v>
      </c>
      <c r="V37" s="8">
        <v>94</v>
      </c>
      <c r="W37" s="8">
        <v>103</v>
      </c>
      <c r="X37" s="8">
        <v>89</v>
      </c>
      <c r="Y37" s="8">
        <v>97</v>
      </c>
    </row>
    <row r="38" spans="1:25" x14ac:dyDescent="0.35">
      <c r="A38" s="199" t="s">
        <v>64</v>
      </c>
      <c r="B38" s="203" t="s">
        <v>1</v>
      </c>
      <c r="C38" s="207">
        <v>343.5</v>
      </c>
      <c r="D38" s="207">
        <v>487</v>
      </c>
      <c r="E38" s="208" t="s">
        <v>650</v>
      </c>
      <c r="F38" s="208" t="s">
        <v>651</v>
      </c>
      <c r="G38" s="207">
        <v>292</v>
      </c>
      <c r="H38" s="207">
        <v>484</v>
      </c>
      <c r="I38" s="207">
        <v>0.5</v>
      </c>
      <c r="J38" s="208" t="s">
        <v>649</v>
      </c>
      <c r="K38" s="197">
        <f t="shared" si="24"/>
        <v>143.5</v>
      </c>
      <c r="L38" s="193">
        <f t="shared" si="21"/>
        <v>-50</v>
      </c>
      <c r="M38" s="193">
        <f t="shared" si="25"/>
        <v>192</v>
      </c>
      <c r="N38" s="193">
        <f t="shared" si="22"/>
        <v>-60.2</v>
      </c>
      <c r="O38" s="193">
        <f t="shared" si="26"/>
        <v>-48.5</v>
      </c>
      <c r="P38" s="193">
        <f t="shared" si="23"/>
        <v>10.200000000000003</v>
      </c>
      <c r="Q38" s="8">
        <v>73</v>
      </c>
      <c r="R38" s="8">
        <v>84</v>
      </c>
      <c r="S38" s="8">
        <v>68</v>
      </c>
      <c r="T38" s="8">
        <v>86</v>
      </c>
      <c r="U38" s="8">
        <v>69</v>
      </c>
      <c r="V38" s="8">
        <v>111</v>
      </c>
      <c r="W38" s="8">
        <v>91</v>
      </c>
      <c r="X38" s="8">
        <v>107</v>
      </c>
      <c r="Y38" s="8">
        <v>103</v>
      </c>
    </row>
    <row r="39" spans="1:25" x14ac:dyDescent="0.35">
      <c r="A39" s="199" t="s">
        <v>105</v>
      </c>
      <c r="B39" s="203" t="s">
        <v>1</v>
      </c>
      <c r="C39" s="207" t="s">
        <v>68</v>
      </c>
      <c r="D39" s="207" t="s">
        <v>68</v>
      </c>
      <c r="E39" s="207">
        <v>0</v>
      </c>
      <c r="F39" s="207">
        <v>0</v>
      </c>
      <c r="G39" s="207" t="s">
        <v>68</v>
      </c>
      <c r="H39" s="207" t="s">
        <v>68</v>
      </c>
      <c r="I39" s="207">
        <v>0</v>
      </c>
      <c r="J39" s="207">
        <v>0</v>
      </c>
      <c r="K39" s="207" t="s">
        <v>68</v>
      </c>
      <c r="L39" s="193">
        <f>F39-E39</f>
        <v>0</v>
      </c>
      <c r="M39" s="207" t="s">
        <v>68</v>
      </c>
      <c r="N39" s="193">
        <f>J39-I39</f>
        <v>0</v>
      </c>
      <c r="O39" s="207" t="s">
        <v>68</v>
      </c>
      <c r="P39" s="193">
        <f>L39-N39</f>
        <v>0</v>
      </c>
      <c r="Q39" s="8">
        <v>100</v>
      </c>
      <c r="R39" s="8">
        <v>122</v>
      </c>
      <c r="S39" s="8">
        <v>80</v>
      </c>
      <c r="T39" s="8">
        <v>109</v>
      </c>
      <c r="U39" s="8">
        <v>89</v>
      </c>
      <c r="V39" s="8">
        <v>94</v>
      </c>
      <c r="W39" s="8">
        <v>94</v>
      </c>
      <c r="X39" s="8">
        <v>104</v>
      </c>
      <c r="Y39" s="8">
        <v>94</v>
      </c>
    </row>
    <row r="40" spans="1:25" x14ac:dyDescent="0.35">
      <c r="A40" s="199" t="s">
        <v>27</v>
      </c>
      <c r="B40" s="203" t="s">
        <v>1</v>
      </c>
      <c r="C40" s="207">
        <v>380.5</v>
      </c>
      <c r="D40" s="207">
        <v>422</v>
      </c>
      <c r="E40" s="207">
        <v>15.7</v>
      </c>
      <c r="F40" s="207">
        <v>2.6</v>
      </c>
      <c r="G40" s="207">
        <v>355.5</v>
      </c>
      <c r="H40" s="207">
        <v>413.5</v>
      </c>
      <c r="I40" s="207">
        <v>10.3</v>
      </c>
      <c r="J40" s="207">
        <v>1</v>
      </c>
      <c r="K40" s="197">
        <f t="shared" ref="K40:K42" si="27">D40-C40</f>
        <v>41.5</v>
      </c>
      <c r="L40" s="193">
        <f t="shared" ref="L40:L42" si="28">F40-E40</f>
        <v>-13.1</v>
      </c>
      <c r="M40" s="193">
        <f t="shared" ref="M40:M42" si="29">H40-G40</f>
        <v>58</v>
      </c>
      <c r="N40" s="193">
        <f t="shared" ref="N40:N42" si="30">J40-I40</f>
        <v>-9.3000000000000007</v>
      </c>
      <c r="O40" s="193">
        <f t="shared" ref="O40:O42" si="31">K40-M40</f>
        <v>-16.5</v>
      </c>
      <c r="P40" s="193">
        <f t="shared" ref="P40:P42" si="32">L40-N40</f>
        <v>-3.7999999999999989</v>
      </c>
      <c r="Q40" s="8">
        <v>93</v>
      </c>
      <c r="R40" s="8">
        <v>84</v>
      </c>
      <c r="S40" s="8">
        <v>98</v>
      </c>
      <c r="T40" s="8">
        <v>88</v>
      </c>
      <c r="U40" s="8">
        <v>89</v>
      </c>
      <c r="V40" s="8">
        <v>94</v>
      </c>
      <c r="W40" s="53">
        <v>100</v>
      </c>
      <c r="X40" s="53">
        <v>101</v>
      </c>
      <c r="Y40" s="53">
        <v>100</v>
      </c>
    </row>
    <row r="41" spans="1:25" x14ac:dyDescent="0.35">
      <c r="A41" s="199" t="s">
        <v>109</v>
      </c>
      <c r="B41" s="203" t="s">
        <v>1</v>
      </c>
      <c r="C41" s="207">
        <v>244</v>
      </c>
      <c r="D41" s="207">
        <v>357.5</v>
      </c>
      <c r="E41" s="207">
        <v>0.5</v>
      </c>
      <c r="F41" s="208" t="s">
        <v>658</v>
      </c>
      <c r="G41" s="207">
        <v>205.5</v>
      </c>
      <c r="H41" s="207">
        <v>365</v>
      </c>
      <c r="I41" s="207">
        <v>5.7</v>
      </c>
      <c r="J41" s="208" t="s">
        <v>659</v>
      </c>
      <c r="K41" s="197">
        <f t="shared" si="27"/>
        <v>113.5</v>
      </c>
      <c r="L41" s="193">
        <f t="shared" si="28"/>
        <v>-16.2</v>
      </c>
      <c r="M41" s="193">
        <f t="shared" si="29"/>
        <v>159.5</v>
      </c>
      <c r="N41" s="193">
        <f t="shared" si="30"/>
        <v>-30.2</v>
      </c>
      <c r="O41" s="193">
        <f t="shared" si="31"/>
        <v>-46</v>
      </c>
      <c r="P41" s="193">
        <f t="shared" si="32"/>
        <v>14</v>
      </c>
      <c r="Q41" s="5" t="s">
        <v>68</v>
      </c>
      <c r="R41" s="5">
        <v>126</v>
      </c>
      <c r="S41" s="5">
        <v>74</v>
      </c>
      <c r="T41" s="5">
        <v>103</v>
      </c>
      <c r="U41" s="5">
        <v>84</v>
      </c>
      <c r="V41" s="5">
        <v>82</v>
      </c>
      <c r="W41" s="5">
        <v>94</v>
      </c>
      <c r="X41" s="5">
        <v>86</v>
      </c>
      <c r="Y41" s="5">
        <v>94</v>
      </c>
    </row>
    <row r="42" spans="1:25" x14ac:dyDescent="0.35">
      <c r="A42" s="201" t="s">
        <v>74</v>
      </c>
      <c r="B42" s="205" t="s">
        <v>68</v>
      </c>
      <c r="C42" s="207">
        <v>331</v>
      </c>
      <c r="D42" s="207">
        <v>406</v>
      </c>
      <c r="E42" s="208" t="s">
        <v>644</v>
      </c>
      <c r="F42" s="208" t="s">
        <v>645</v>
      </c>
      <c r="G42" s="207">
        <v>332</v>
      </c>
      <c r="H42" s="207">
        <v>396.5</v>
      </c>
      <c r="I42" s="208" t="s">
        <v>646</v>
      </c>
      <c r="J42" s="208" t="s">
        <v>647</v>
      </c>
      <c r="K42" s="197">
        <f t="shared" si="27"/>
        <v>75</v>
      </c>
      <c r="L42" s="193">
        <f t="shared" si="28"/>
        <v>-24.5</v>
      </c>
      <c r="M42" s="193">
        <f t="shared" si="29"/>
        <v>64.5</v>
      </c>
      <c r="N42" s="193">
        <f t="shared" si="30"/>
        <v>-31.700000000000003</v>
      </c>
      <c r="O42" s="193">
        <f t="shared" si="31"/>
        <v>10.5</v>
      </c>
      <c r="P42" s="193">
        <f t="shared" si="32"/>
        <v>7.2000000000000028</v>
      </c>
      <c r="Q42" s="5">
        <v>115</v>
      </c>
      <c r="R42" s="5">
        <v>124</v>
      </c>
      <c r="S42" s="5">
        <v>106</v>
      </c>
      <c r="T42" s="5">
        <v>114</v>
      </c>
      <c r="U42" s="5">
        <v>102</v>
      </c>
      <c r="V42" s="5">
        <v>114</v>
      </c>
      <c r="W42" s="5">
        <v>106</v>
      </c>
      <c r="X42" s="5">
        <v>119</v>
      </c>
      <c r="Y42" s="5">
        <v>106</v>
      </c>
    </row>
  </sheetData>
  <conditionalFormatting sqref="A18:A41">
    <cfRule type="containsText" dxfId="3" priority="7" operator="containsText" text="ok">
      <formula>NOT(ISERROR(SEARCH("ok",A18)))</formula>
    </cfRule>
  </conditionalFormatting>
  <conditionalFormatting sqref="Q32:X32">
    <cfRule type="containsText" dxfId="2" priority="2" operator="containsText" text="NI">
      <formula>NOT(ISERROR(SEARCH("NI",Q32)))</formula>
    </cfRule>
  </conditionalFormatting>
  <conditionalFormatting sqref="Y18">
    <cfRule type="containsText" dxfId="1" priority="3" operator="containsText" text="NI">
      <formula>NOT(ISERROR(SEARCH("NI",Y18)))</formula>
    </cfRule>
  </conditionalFormatting>
  <conditionalFormatting sqref="Y41">
    <cfRule type="containsText" dxfId="0" priority="1" operator="containsText" text="NI">
      <formula>NOT(ISERROR(SEARCH("NI",Y41)))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Total</vt:lpstr>
      <vt:lpstr>Total2</vt:lpstr>
      <vt:lpstr>Total2NI</vt:lpstr>
      <vt:lpstr>Total3</vt:lpstr>
      <vt:lpstr>Hipp</vt:lpstr>
      <vt:lpstr>Rhinal</vt:lpstr>
      <vt:lpstr>LRC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BARBOSA-GRANGE Melanie</dc:creator>
  <cp:lastModifiedBy>Melanie Barbosa Grange</cp:lastModifiedBy>
  <dcterms:created xsi:type="dcterms:W3CDTF">2026-01-21T11:48:00Z</dcterms:created>
  <dcterms:modified xsi:type="dcterms:W3CDTF">2026-07-13T15:03:00Z</dcterms:modified>
</cp:coreProperties>
</file>